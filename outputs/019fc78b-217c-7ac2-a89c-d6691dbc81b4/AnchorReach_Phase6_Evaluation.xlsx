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b77c38c7174ab0" /></Relationships>
</file>

<file path=xl/workbook.xml><?xml version="1.0" encoding="utf-8"?>
<x:workbook xmlns:x="http://schemas.openxmlformats.org/spreadsheetml/2006/main">
  <x:sheets>
    <x:sheet xmlns:r="http://schemas.openxmlformats.org/officeDocument/2006/relationships" name="Read Me" sheetId="1" r:id="Rd7a16d3087234fcb"/>
    <x:sheet xmlns:r="http://schemas.openxmlformats.org/officeDocument/2006/relationships" name="Sample Manifest" sheetId="2" r:id="R9dcebca63a91498a"/>
    <x:sheet xmlns:r="http://schemas.openxmlformats.org/officeDocument/2006/relationships" name="Source Audit" sheetId="3" r:id="R233ccfa7be824a05"/>
    <x:sheet xmlns:r="http://schemas.openxmlformats.org/officeDocument/2006/relationships" name="Rater 1" sheetId="4" r:id="R477ff11add6e4716"/>
    <x:sheet xmlns:r="http://schemas.openxmlformats.org/officeDocument/2006/relationships" name="Rater 2" sheetId="5" r:id="Rac7eeac2dbdf47fe"/>
    <x:sheet xmlns:r="http://schemas.openxmlformats.org/officeDocument/2006/relationships" name="Model Scores" sheetId="6" r:id="Rff92e296adae4b65"/>
    <x:sheet xmlns:r="http://schemas.openxmlformats.org/officeDocument/2006/relationships" name="Analysis" sheetId="7" r:id="Rfa1686dcd14e44ea"/>
    <x:sheet xmlns:r="http://schemas.openxmlformats.org/officeDocument/2006/relationships" name="Rubric" sheetId="8" r:id="Race615582ecf4c7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0000"/>
  </x:numFmts>
  <x:fonts count="6">
    <x:font>
      <x:sz val="11"/>
      <x:name val="Carlito"/>
    </x:font>
    <x:font>
      <x:b/>
      <x:sz val="18"/>
      <x:color rgb="FFFFFFFF"/>
      <x:name val="Carlito"/>
    </x:font>
    <x:font>
      <x:sz val="10"/>
      <x:color rgb="FF1F2937"/>
      <x:name val="Carlito"/>
    </x:font>
    <x:font>
      <x:b/>
      <x:sz val="11"/>
      <x:color rgb="FFFFFFFF"/>
      <x:name val="Carlito"/>
    </x:font>
    <x:font>
      <x:b/>
      <x:sz val="11"/>
      <x:color rgb="FF8A1C1C"/>
      <x:name val="Carlito"/>
    </x:font>
    <x:font>
      <x:b/>
      <x:sz val="11"/>
      <x:color rgb="FF1F2937"/>
      <x:name val="Carlito"/>
    </x:font>
  </x:fonts>
  <x:fills count="9">
    <x:fill>
      <x:patternFill patternType="none"/>
    </x:fill>
    <x:fill>
      <x:patternFill patternType="gray125"/>
    </x:fill>
    <x:fill>
      <x:patternFill patternType="solid">
        <x:fgColor rgb="FF14213D"/>
      </x:patternFill>
    </x:fill>
    <x:fill>
      <x:patternFill patternType="solid">
        <x:fgColor rgb="FFEAF1FF"/>
      </x:patternFill>
    </x:fill>
    <x:fill>
      <x:patternFill patternType="solid">
        <x:fgColor rgb="FF2D6CDF"/>
      </x:patternFill>
    </x:fill>
    <x:fill>
      <x:patternFill patternType="solid">
        <x:fgColor rgb="FF168C7A"/>
      </x:patternFill>
    </x:fill>
    <x:fill>
      <x:patternFill patternType="solid">
        <x:fgColor rgb="FFFFF3BF"/>
      </x:patternFill>
    </x:fill>
    <x:fill>
      <x:patternFill patternType="solid">
        <x:fgColor rgb="FFFDECEC"/>
      </x:patternFill>
    </x:fill>
    <x:fill>
      <x:patternFill patternType="solid">
        <x:fgColor rgb="FFE8F6F2"/>
      </x:patternFill>
    </x:fill>
  </x:fills>
  <x:borders count="13">
    <x:border/>
    <x:border>
      <x:right style="thin">
        <x:color rgb="FFD9E0EA"/>
      </x:right>
    </x:border>
    <x:border>
      <x:left style="thin">
        <x:color rgb="FFD9E0EA"/>
      </x:left>
    </x:border>
    <x:border>
      <x:right style="thin">
        <x:color rgb="FFD9E0EA"/>
      </x:right>
      <x:bottom style="thin">
        <x:color rgb="FFD9E0EA"/>
      </x:bottom>
    </x:border>
    <x:border>
      <x:left style="thin">
        <x:color rgb="FFD9E0EA"/>
      </x:left>
      <x:bottom style="thin">
        <x:color rgb="FFD9E0EA"/>
      </x:bottom>
    </x:border>
    <x:border>
      <x:right style="thin">
        <x:color rgb="FFD9E0EA"/>
      </x:right>
      <x:top style="thin">
        <x:color rgb="FFD9E0EA"/>
      </x:top>
      <x:bottom style="thin">
        <x:color rgb="FFD9E0EA"/>
      </x:bottom>
    </x:border>
    <x:border>
      <x:left style="thin">
        <x:color rgb="FFD9E0EA"/>
      </x:left>
      <x:top style="thin">
        <x:color rgb="FFD9E0EA"/>
      </x:top>
      <x:bottom style="thin">
        <x:color rgb="FFD9E0EA"/>
      </x:bottom>
    </x:border>
    <x:border>
      <x:right style="thin">
        <x:color rgb="FFD9E0EA"/>
      </x:right>
      <x:top style="thin">
        <x:color rgb="FFD9E0EA"/>
      </x:top>
    </x:border>
    <x:border>
      <x:left style="thin">
        <x:color rgb="FFD9E0EA"/>
      </x:left>
      <x:top style="thin">
        <x:color rgb="FFD9E0EA"/>
      </x:top>
    </x:border>
    <x:border>
      <x:left style="thin">
        <x:color rgb="FFD9E0EA"/>
      </x:left>
      <x:right style="thin">
        <x:color rgb="FFD9E0EA"/>
      </x:right>
      <x:bottom style="thin">
        <x:color rgb="FFD9E0EA"/>
      </x:bottom>
    </x:border>
    <x:border>
      <x:left style="thin">
        <x:color rgb="FFD9E0EA"/>
      </x:left>
      <x:right style="thin">
        <x:color rgb="FFD9E0EA"/>
      </x:right>
      <x:top style="thin">
        <x:color rgb="FFD9E0EA"/>
      </x:top>
      <x:bottom style="thin">
        <x:color rgb="FFD9E0EA"/>
      </x:bottom>
    </x:border>
    <x:border>
      <x:left style="thin">
        <x:color rgb="FFD9E0EA"/>
      </x:left>
      <x:right style="thin">
        <x:color rgb="FFD9E0EA"/>
      </x:right>
      <x:top style="thin">
        <x:color rgb="FFD9E0EA"/>
      </x:top>
    </x:border>
    <x:border>
      <x:left style="thin">
        <x:color rgb="FFD9E0EA"/>
      </x:left>
      <x:right style="thin">
        <x:color rgb="FFD9E0EA"/>
      </x:right>
    </x:border>
  </x:borders>
  <x:cellStyleXfs count="1">
    <x:xf numFmtId="0" fontId="0" fillId="0" borderId="0"/>
  </x:cellStyleXfs>
  <x:cellXfs count="10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2" fillId="0" borderId="0"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8" xfId="0" applyNumberFormat="1" applyFont="1" applyFill="1" applyBorder="1"/>
    <x:xf numFmtId="0" fontId="2" fillId="0" borderId="3" xfId="0" applyNumberFormat="1" applyFont="1" applyFill="1" applyBorder="1" applyAlignment="1">
      <x:alignment vertical="center"/>
    </x:xf>
    <x:xf numFmtId="0" fontId="2" fillId="0" borderId="4" xfId="0" applyNumberFormat="1" applyFont="1" applyFill="1" applyBorder="1" applyAlignment="1">
      <x:alignment vertical="center"/>
    </x:xf>
    <x:xf numFmtId="0" fontId="2" fillId="0" borderId="5" xfId="0" applyNumberFormat="1" applyFont="1" applyFill="1" applyBorder="1" applyAlignment="1">
      <x:alignment vertical="center"/>
    </x:xf>
    <x:xf numFmtId="0" fontId="2" fillId="0" borderId="6" xfId="0" applyNumberFormat="1" applyFont="1" applyFill="1" applyBorder="1" applyAlignment="1">
      <x:alignment vertical="center"/>
    </x:xf>
    <x:xf numFmtId="0" fontId="2" fillId="0" borderId="7" xfId="0" applyNumberFormat="1" applyFont="1" applyFill="1" applyBorder="1" applyAlignment="1">
      <x:alignment vertical="center"/>
    </x:xf>
    <x:xf numFmtId="0" fontId="2" fillId="0" borderId="8" xfId="0" applyNumberFormat="1" applyFont="1" applyFill="1" applyBorder="1" applyAlignment="1">
      <x:alignment vertical="center"/>
    </x:xf>
    <x:xf numFmtId="0" fontId="0" fillId="5" borderId="0" xfId="0" applyNumberFormat="1" applyFont="1" applyFill="1" applyBorder="1"/>
    <x:xf numFmtId="0" fontId="3" fillId="5" borderId="0" xfId="0" applyNumberFormat="1" applyFont="1" applyFill="1" applyBorder="1"/>
    <x:xf numFmtId="0" fontId="0" fillId="0" borderId="3" xfId="0" applyNumberFormat="1" applyFont="1" applyFill="1" applyBorder="1"/>
    <x:xf numFmtId="0" fontId="0" fillId="0" borderId="9"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1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11" xfId="0" applyNumberFormat="1" applyFont="1" applyFill="1" applyBorder="1"/>
    <x:xf numFmtId="0" fontId="0" fillId="0" borderId="8" xfId="0" applyNumberFormat="1" applyFont="1" applyFill="1" applyBorder="1"/>
    <x:xf numFmtId="0" fontId="0" fillId="0" borderId="3"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8" xfId="0" applyNumberFormat="1" applyFont="1" applyFill="1" applyBorder="1" applyAlignment="1">
      <x:alignment wrapText="1"/>
    </x:xf>
    <x:xf numFmtId="0" fontId="0" fillId="6" borderId="9" xfId="0" applyNumberFormat="1" applyFont="1" applyFill="1" applyBorder="1" applyAlignment="1">
      <x:alignment wrapText="1"/>
    </x:xf>
    <x:xf numFmtId="0" fontId="0" fillId="6" borderId="10" xfId="0" applyNumberFormat="1" applyFont="1" applyFill="1" applyBorder="1" applyAlignment="1">
      <x:alignment wrapText="1"/>
    </x:xf>
    <x:xf numFmtId="0" fontId="0" fillId="6" borderId="11" xfId="0" applyNumberFormat="1" applyFont="1" applyFill="1" applyBorder="1" applyAlignment="1">
      <x:alignment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3" fillId="4" borderId="12" xfId="0" applyNumberFormat="1" applyFont="1" applyFill="1" applyBorder="1"/>
    <x:xf numFmtId="0" fontId="3" fillId="4" borderId="12" xfId="0" applyNumberFormat="1" applyFont="1" applyFill="1" applyBorder="1" applyAlignment="1">
      <x:alignment wrapText="1"/>
    </x:xf>
    <x:xf numFmtId="0" fontId="3" fillId="4" borderId="12" xfId="0" applyNumberFormat="1" applyFont="1" applyFill="1" applyBorder="1" applyAlignment="1">
      <x:alignment vertical="center" wrapText="1"/>
    </x:xf>
    <x:xf numFmtId="0" fontId="2" fillId="0" borderId="9" xfId="0" applyNumberFormat="1" applyFont="1" applyFill="1" applyBorder="1"/>
    <x:xf numFmtId="0" fontId="2" fillId="0" borderId="10" xfId="0" applyNumberFormat="1" applyFont="1" applyFill="1" applyBorder="1"/>
    <x:xf numFmtId="0" fontId="2" fillId="0" borderId="11" xfId="0" applyNumberFormat="1" applyFont="1" applyFill="1" applyBorder="1"/>
    <x:xf numFmtId="0" fontId="2" fillId="0" borderId="9" xfId="0" applyNumberFormat="1" applyFont="1" applyFill="1" applyBorder="1" applyAlignment="1">
      <x:alignment vertical="center"/>
    </x:xf>
    <x:xf numFmtId="0" fontId="2" fillId="0" borderId="10" xfId="0" applyNumberFormat="1" applyFont="1" applyFill="1" applyBorder="1" applyAlignment="1">
      <x:alignment vertical="center"/>
    </x:xf>
    <x:xf numFmtId="0" fontId="2" fillId="0" borderId="11" xfId="0" applyNumberFormat="1" applyFont="1" applyFill="1" applyBorder="1" applyAlignment="1">
      <x:alignment vertical="center"/>
    </x:xf>
    <x:xf numFmtId="0" fontId="2" fillId="6" borderId="9" xfId="0" applyNumberFormat="1" applyFont="1" applyFill="1" applyBorder="1" applyAlignment="1">
      <x:alignment vertical="center"/>
    </x:xf>
    <x:xf numFmtId="0" fontId="2" fillId="6" borderId="10" xfId="0" applyNumberFormat="1" applyFont="1" applyFill="1" applyBorder="1" applyAlignment="1">
      <x:alignment vertical="center"/>
    </x:xf>
    <x:xf numFmtId="0" fontId="2" fillId="6" borderId="11" xfId="0" applyNumberFormat="1" applyFont="1" applyFill="1" applyBorder="1" applyAlignment="1">
      <x:alignment vertical="center"/>
    </x:xf>
    <x:xf numFmtId="0" fontId="2" fillId="6" borderId="4" xfId="0" applyNumberFormat="1" applyFont="1" applyFill="1" applyBorder="1" applyAlignment="1">
      <x:alignment vertical="center"/>
    </x:xf>
    <x:xf numFmtId="0" fontId="2" fillId="6" borderId="6" xfId="0" applyNumberFormat="1" applyFont="1" applyFill="1" applyBorder="1" applyAlignment="1">
      <x:alignment vertical="center"/>
    </x:xf>
    <x:xf numFmtId="0" fontId="2" fillId="6" borderId="8" xfId="0" applyNumberFormat="1" applyFont="1" applyFill="1" applyBorder="1" applyAlignment="1">
      <x:alignment vertical="center"/>
    </x:xf>
    <x:xf numFmtId="200" fontId="2" fillId="0" borderId="9" xfId="0" applyNumberFormat="1" applyFont="1" applyFill="1" applyBorder="1" applyAlignment="1">
      <x:alignment vertical="center"/>
    </x:xf>
    <x:xf numFmtId="200" fontId="2" fillId="0" borderId="10" xfId="0" applyNumberFormat="1" applyFont="1" applyFill="1" applyBorder="1" applyAlignment="1">
      <x:alignment vertical="center"/>
    </x:xf>
    <x:xf numFmtId="200" fontId="2" fillId="0" borderId="11" xfId="0" applyNumberFormat="1" applyFont="1" applyFill="1" applyBorder="1" applyAlignment="1">
      <x:alignment vertical="center"/>
    </x:xf>
    <x:xf numFmtId="0" fontId="2" fillId="8" borderId="4" xfId="0" applyNumberFormat="1" applyFont="1" applyFill="1" applyBorder="1" applyAlignment="1">
      <x:alignment vertical="center"/>
    </x:xf>
    <x:xf numFmtId="0" fontId="2" fillId="8" borderId="6" xfId="0" applyNumberFormat="1" applyFont="1" applyFill="1" applyBorder="1" applyAlignment="1">
      <x:alignment vertical="center"/>
    </x:xf>
    <x:xf numFmtId="0" fontId="2" fillId="8" borderId="8" xfId="0" applyNumberFormat="1" applyFont="1" applyFill="1" applyBorder="1" applyAlignment="1">
      <x:alignment vertical="center"/>
    </x:xf>
    <x:xf numFmtId="0" fontId="2" fillId="0" borderId="3" xfId="0" applyNumberFormat="1" applyFont="1" applyFill="1" applyBorder="1" applyAlignment="1">
      <x:alignment vertical="center" wrapText="1"/>
    </x:xf>
    <x:xf numFmtId="0" fontId="2" fillId="0" borderId="9" xfId="0" applyNumberFormat="1" applyFont="1" applyFill="1" applyBorder="1" applyAlignment="1">
      <x:alignment vertical="center" wrapText="1"/>
    </x:xf>
    <x:xf numFmtId="0" fontId="2" fillId="8" borderId="4" xfId="0" applyNumberFormat="1" applyFont="1" applyFill="1" applyBorder="1" applyAlignment="1">
      <x:alignment vertical="center" wrapText="1"/>
    </x:xf>
    <x:xf numFmtId="0" fontId="2" fillId="0" borderId="5" xfId="0" applyNumberFormat="1" applyFont="1" applyFill="1" applyBorder="1" applyAlignment="1">
      <x:alignment vertical="center" wrapText="1"/>
    </x:xf>
    <x:xf numFmtId="0" fontId="2" fillId="0" borderId="10" xfId="0" applyNumberFormat="1" applyFont="1" applyFill="1" applyBorder="1" applyAlignment="1">
      <x:alignment vertical="center" wrapText="1"/>
    </x:xf>
    <x:xf numFmtId="0" fontId="2" fillId="8" borderId="6" xfId="0" applyNumberFormat="1" applyFont="1" applyFill="1" applyBorder="1" applyAlignment="1">
      <x:alignment vertical="center" wrapText="1"/>
    </x:xf>
    <x:xf numFmtId="0" fontId="2" fillId="0" borderId="7" xfId="0" applyNumberFormat="1" applyFont="1" applyFill="1" applyBorder="1" applyAlignment="1">
      <x:alignment vertical="center" wrapText="1"/>
    </x:xf>
    <x:xf numFmtId="0" fontId="2" fillId="0" borderId="11" xfId="0" applyNumberFormat="1" applyFont="1" applyFill="1" applyBorder="1" applyAlignment="1">
      <x:alignment vertical="center" wrapText="1"/>
    </x:xf>
    <x:xf numFmtId="0" fontId="2" fillId="8" borderId="8" xfId="0" applyNumberFormat="1" applyFont="1" applyFill="1" applyBorder="1" applyAlignment="1">
      <x:alignment vertical="center" wrapText="1"/>
    </x:xf>
    <x:xf numFmtId="201" fontId="2" fillId="6" borderId="9" xfId="0" applyNumberFormat="1" applyFont="1" applyFill="1" applyBorder="1" applyAlignment="1">
      <x:alignment vertical="center"/>
    </x:xf>
    <x:xf numFmtId="201" fontId="2" fillId="0" borderId="9" xfId="0" applyNumberFormat="1" applyFont="1" applyFill="1" applyBorder="1" applyAlignment="1">
      <x:alignment vertical="center"/>
    </x:xf>
    <x:xf numFmtId="201" fontId="2" fillId="6" borderId="10" xfId="0" applyNumberFormat="1" applyFont="1" applyFill="1" applyBorder="1" applyAlignment="1">
      <x:alignment vertical="center"/>
    </x:xf>
    <x:xf numFmtId="201" fontId="2" fillId="0" borderId="10" xfId="0" applyNumberFormat="1" applyFont="1" applyFill="1" applyBorder="1" applyAlignment="1">
      <x:alignment vertical="center"/>
    </x:xf>
    <x:xf numFmtId="201" fontId="2" fillId="6" borderId="11" xfId="0" applyNumberFormat="1" applyFont="1" applyFill="1" applyBorder="1" applyAlignment="1">
      <x:alignment vertical="center"/>
    </x:xf>
    <x:xf numFmtId="201" fontId="2" fillId="0" borderId="11" xfId="0" applyNumberFormat="1" applyFont="1" applyFill="1" applyBorder="1" applyAlignment="1">
      <x:alignment vertical="center"/>
    </x:xf>
    <x:xf numFmtId="202" fontId="2" fillId="6" borderId="9" xfId="0" applyNumberFormat="1" applyFont="1" applyFill="1" applyBorder="1" applyAlignment="1">
      <x:alignment vertical="center"/>
    </x:xf>
    <x:xf numFmtId="202" fontId="2" fillId="6" borderId="10" xfId="0" applyNumberFormat="1" applyFont="1" applyFill="1" applyBorder="1" applyAlignment="1">
      <x:alignment vertical="center"/>
    </x:xf>
    <x:xf numFmtId="202" fontId="2" fillId="6" borderId="11" xfId="0" applyNumberFormat="1" applyFont="1" applyFill="1" applyBorder="1" applyAlignment="1">
      <x:alignment vertical="center"/>
    </x:xf>
    <x:xf numFmtId="0" fontId="3" fillId="5" borderId="0" xfId="0" applyNumberFormat="1" applyFont="1" applyFill="1" applyBorder="1" applyAlignment="1">
      <x:alignment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76fbb2679f4e5b" /><Relationship Type="http://schemas.openxmlformats.org/officeDocument/2006/relationships/theme" Target="/xl/theme/theme1.xml" Id="R164c91aa53084d83" /><Relationship Type="http://schemas.openxmlformats.org/officeDocument/2006/relationships/sharedStrings" Target="/xl/sharedStrings.xml" Id="Re0943644e4e24053" /><Relationship Type="http://schemas.openxmlformats.org/officeDocument/2006/relationships/worksheet" Target="/xl/worksheets/sheet1.xml" Id="Rd7a16d3087234fcb" /><Relationship Type="http://schemas.openxmlformats.org/officeDocument/2006/relationships/worksheet" Target="/xl/worksheets/sheet2.xml" Id="R9dcebca63a91498a" /><Relationship Type="http://schemas.openxmlformats.org/officeDocument/2006/relationships/worksheet" Target="/xl/worksheets/sheet3.xml" Id="R233ccfa7be824a05" /><Relationship Type="http://schemas.openxmlformats.org/officeDocument/2006/relationships/worksheet" Target="/xl/worksheets/sheet4.xml" Id="R477ff11add6e4716" /><Relationship Type="http://schemas.openxmlformats.org/officeDocument/2006/relationships/worksheet" Target="/xl/worksheets/sheet5.xml" Id="Rac7eeac2dbdf47fe" /><Relationship Type="http://schemas.openxmlformats.org/officeDocument/2006/relationships/worksheet" Target="/xl/worksheets/sheet6.xml" Id="Rff92e296adae4b65" /><Relationship Type="http://schemas.openxmlformats.org/officeDocument/2006/relationships/worksheet" Target="/xl/worksheets/sheet7.xml" Id="Rfa1686dcd14e44ea" /><Relationship Type="http://schemas.openxmlformats.org/officeDocument/2006/relationships/worksheet" Target="/xl/worksheets/sheet8.xml" Id="Race615582ecf4c7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76" hidden="0" customWidth="1"/>
    <x:col min="3" max="3" width="24"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3" t="str">
        <x:v>AnchorReach Phase 6 Evaluation Workbook</x:v>
      </x:c>
      <x:c r="B1" s="3" t="str">
        <x:v>AnchorReach Phase 6 Evaluation Workbook</x:v>
      </x:c>
      <x:c r="C1" s="3" t="str">
        <x:v>AnchorReach Phase 6 Evaluation Workbook</x:v>
      </x:c>
      <x:c r="D1" s="3" t="str">
        <x:v>AnchorReach Phase 6 Evaluation Workbook</x:v>
      </x:c>
      <x:c r="E1" s="3" t="str">
        <x:v>AnchorReach Phase 6 Evaluation Workbook</x:v>
      </x:c>
      <x:c r="F1" s="3" t="str">
        <x:v>AnchorReach Phase 6 Evaluation Workbook</x:v>
      </x:c>
      <x:c r="G1" s="3" t="str">
        <x:v>AnchorReach Phase 6 Evaluation Workbook</x:v>
      </x:c>
      <x:c r="H1" s="3" t="str">
        <x:v>AnchorReach Phase 6 Evaluation Workbook</x:v>
      </x:c>
    </x:row>
    <x:row r="2" ht="30" customHeight="1">
      <x:c r="A2" s="7" t="str">
        <x:v>Frozen protocol v1 · 60 holdout samples · 20 public reference assets verified · no paid calls authorized</x:v>
      </x:c>
      <x:c r="B2" s="7" t="str">
        <x:v>Frozen protocol v1 · 60 holdout samples · 20 public reference assets verified · no paid calls authorized</x:v>
      </x:c>
      <x:c r="C2" s="7" t="str">
        <x:v>Frozen protocol v1 · 60 holdout samples · 20 public reference assets verified · no paid calls authorized</x:v>
      </x:c>
      <x:c r="D2" s="7" t="str">
        <x:v>Frozen protocol v1 · 60 holdout samples · 20 public reference assets verified · no paid calls authorized</x:v>
      </x:c>
      <x:c r="E2" s="7" t="str">
        <x:v>Frozen protocol v1 · 60 holdout samples · 20 public reference assets verified · no paid calls authorized</x:v>
      </x:c>
      <x:c r="F2" s="7" t="str">
        <x:v>Frozen protocol v1 · 60 holdout samples · 20 public reference assets verified · no paid calls authorized</x:v>
      </x:c>
      <x:c r="G2" s="7" t="str">
        <x:v>Frozen protocol v1 · 60 holdout samples · 20 public reference assets verified · no paid calls authorized</x:v>
      </x:c>
      <x:c r="H2" s="7" t="str">
        <x:v>Frozen protocol v1 · 60 holdout samples · 20 public reference assets verified · no paid calls authorized</x:v>
      </x:c>
    </x:row>
    <x:row r="4" ht="30" customHeight="1">
      <x:c r="A4" s="14" t="str">
        <x:v>Frozen item</x:v>
      </x:c>
      <x:c r="B4" s="15" t="str">
        <x:v>Value</x:v>
      </x:c>
    </x:row>
    <x:row r="5">
      <x:c r="A5" s="23" t="str">
        <x:v>Sample design</x:v>
      </x:c>
      <x:c r="B5" s="24" t="str">
        <x:v>12 public product slots × 5 markets = 60 samples</x:v>
      </x:c>
    </x:row>
    <x:row r="6">
      <x:c r="A6" s="25" t="str">
        <x:v>Markets</x:v>
      </x:c>
      <x:c r="B6" s="26" t="str">
        <x:v>US/en, DE/de, JP/ja, KR/ko, AE/ar</x:v>
      </x:c>
    </x:row>
    <x:row r="7">
      <x:c r="A7" s="25" t="str">
        <x:v>Human raters</x:v>
      </x:c>
      <x:c r="B7" s="26" t="str">
        <x:v>2, independent and blind to model scores</x:v>
      </x:c>
    </x:row>
    <x:row r="8">
      <x:c r="A8" s="25" t="str">
        <x:v>Generation rule</x:v>
      </x:c>
      <x:c r="B8" s="26" t="str">
        <x:v>First completed generation only; no best-of selection or correction loop</x:v>
      </x:c>
    </x:row>
    <x:row r="9">
      <x:c r="A9" s="25" t="str">
        <x:v>Scoring policy</x:v>
      </x:c>
      <x:c r="B9" s="26" t="str">
        <x:v>logo_hard_gate_v2; 50% product, 30% logo, 20% color</x:v>
      </x:c>
    </x:row>
    <x:row r="10">
      <x:c r="A10" s="25" t="str">
        <x:v>Primary trust gate</x:v>
      </x:c>
      <x:c r="B10" s="26" t="str">
        <x:v>Pearson &gt; 0.8 AND Spearman &gt; 0.8</x:v>
      </x:c>
    </x:row>
    <x:row r="11">
      <x:c r="A11" s="27" t="str">
        <x:v>Financial state</x:v>
      </x:c>
      <x:c r="B11" s="28" t="str">
        <x:v>USD 0 authorized; explicit approval required before any API call</x:v>
      </x:c>
    </x:row>
    <x:row r="13">
      <x:c r="A13" s="30" t="str">
        <x:v>Workflow</x:v>
      </x:c>
      <x:c r="B13" s="30" t="str">
        <x:v>Owner / gate</x:v>
      </x:c>
      <x:c r="C13" s="30" t="str">
        <x:v>Status</x:v>
      </x:c>
      <x:c r="D13" s="30" t="str">
        <x:v>Evidence</x:v>
      </x:c>
      <x:c r="E13" s="30" t="str"/>
      <x:c r="F13" s="30" t="str"/>
      <x:c r="G13" s="30" t="str"/>
      <x:c r="H13" s="30" t="str"/>
    </x:row>
    <x:row r="14">
      <x:c r="A14" s="40" t="str">
        <x:v>1. Verify public source URLs and license notes</x:v>
      </x:c>
      <x:c r="B14" s="41" t="str">
        <x:v>Project</x:v>
      </x:c>
      <x:c r="C14" s="49" t="str">
        <x:v>Completed</x:v>
      </x:c>
      <x:c r="D14" s="42" t="str">
        <x:v>Source Audit + Sample Manifest</x:v>
      </x:c>
      <x:c r="E14" t="str"/>
      <x:c r="F14" t="str"/>
      <x:c r="G14" t="str"/>
      <x:c r="H14" t="str"/>
    </x:row>
    <x:row r="15">
      <x:c r="A15" s="43" t="str">
        <x:v>2. Approve a paid execution cap</x:v>
      </x:c>
      <x:c r="B15" s="44" t="str">
        <x:v>User</x:v>
      </x:c>
      <x:c r="C15" s="50" t="str">
        <x:v>Blocked until approval</x:v>
      </x:c>
      <x:c r="D15" s="45" t="str">
        <x:v>No API call allowed</x:v>
      </x:c>
      <x:c r="E15" t="str"/>
      <x:c r="F15" t="str"/>
      <x:c r="G15" t="str"/>
      <x:c r="H15" t="str"/>
    </x:row>
    <x:row r="16">
      <x:c r="A16" s="43" t="str">
        <x:v>3. Generate and archive first outputs</x:v>
      </x:c>
      <x:c r="B16" s="44" t="str">
        <x:v>Project</x:v>
      </x:c>
      <x:c r="C16" s="50" t="str">
        <x:v>Pending</x:v>
      </x:c>
      <x:c r="D16" s="45" t="str">
        <x:v>60 generated asset URLs</x:v>
      </x:c>
      <x:c r="E16" t="str"/>
      <x:c r="F16" t="str"/>
      <x:c r="G16" t="str"/>
      <x:c r="H16" t="str"/>
    </x:row>
    <x:row r="17">
      <x:c r="A17" s="43" t="str">
        <x:v>4. Lock two blind rating sheets</x:v>
      </x:c>
      <x:c r="B17" s="44" t="str">
        <x:v>Two human raters</x:v>
      </x:c>
      <x:c r="C17" s="50" t="str">
        <x:v>Pending</x:v>
      </x:c>
      <x:c r="D17" s="45" t="str">
        <x:v>Rater 1 + Rater 2</x:v>
      </x:c>
      <x:c r="E17" t="str"/>
      <x:c r="F17" t="str"/>
      <x:c r="G17" t="str"/>
      <x:c r="H17" t="str"/>
    </x:row>
    <x:row r="18">
      <x:c r="A18" s="46" t="str">
        <x:v>5. Import model scores and run statistics</x:v>
      </x:c>
      <x:c r="B18" s="47" t="str">
        <x:v>Project</x:v>
      </x:c>
      <x:c r="C18" s="51" t="str">
        <x:v>Pending</x:v>
      </x:c>
      <x:c r="D18" s="48" t="str">
        <x:v>Final Phase-6 report</x:v>
      </x:c>
      <x:c r="E18" t="str"/>
      <x:c r="F18" t="str"/>
      <x:c r="G18" t="str"/>
      <x:c r="H18" t="str"/>
    </x:row>
    <x:row r="20">
      <x:c r="A20"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B20"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C20"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D20"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E20"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F20"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G20"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H20"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row>
    <x:row r="21">
      <x:c r="A21"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B21"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C21"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D21"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E21"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F21"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G21"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H21"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row>
    <x:row r="22">
      <x:c r="A22"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B22"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C22"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D22"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E22"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F22"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G22"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c r="H22" s="55" t="str">
        <x:v>Important: do not reveal either model scores or the other rater's scores until both human sheets are complete and locked. The 12 product sources and eight Logo sources are verified for local technical evaluation; trademark-bearing assets are not cleared for commercial publication.</x:v>
      </x:c>
    </x:row>
  </x:sheetData>
  <x:mergeCells>
    <x:mergeCell ref="A1:H1"/>
    <x:mergeCell ref="A2:H2"/>
    <x:mergeCell ref="A20: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19" hidden="0" customWidth="1"/>
    <x:col min="4" max="4" width="19" hidden="0" customWidth="1"/>
    <x:col min="5" max="5" width="13" hidden="0" customWidth="1"/>
    <x:col min="6" max="6" width="13" hidden="0" customWidth="1"/>
    <x:col min="7" max="7" width="13" hidden="0" customWidth="1"/>
    <x:col min="8" max="8" width="13"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18" hidden="0" customWidth="1"/>
    <x:col min="16" max="16" width="18" hidden="0" customWidth="1"/>
    <x:col min="17" max="17" width="18" hidden="0" customWidth="1"/>
  </x:cols>
  <x:sheetData>
    <x:row r="1" ht="34" customHeight="1">
      <x:c r="A1" s="3" t="str">
        <x:v>Frozen Sample Manifest</x:v>
      </x:c>
      <x:c r="B1" s="3" t="str">
        <x:v>Frozen Sample Manifest</x:v>
      </x:c>
      <x:c r="C1" s="3" t="str">
        <x:v>Frozen Sample Manifest</x:v>
      </x:c>
      <x:c r="D1" s="3" t="str">
        <x:v>Frozen Sample Manifest</x:v>
      </x:c>
      <x:c r="E1" s="3" t="str">
        <x:v>Frozen Sample Manifest</x:v>
      </x:c>
      <x:c r="F1" s="3" t="str">
        <x:v>Frozen Sample Manifest</x:v>
      </x:c>
      <x:c r="G1" s="3" t="str">
        <x:v>Frozen Sample Manifest</x:v>
      </x:c>
      <x:c r="H1" s="3" t="str">
        <x:v>Frozen Sample Manifest</x:v>
      </x:c>
      <x:c r="I1" s="3" t="str">
        <x:v>Frozen Sample Manifest</x:v>
      </x:c>
      <x:c r="J1" s="3" t="str">
        <x:v>Frozen Sample Manifest</x:v>
      </x:c>
      <x:c r="K1" s="3" t="str">
        <x:v>Frozen Sample Manifest</x:v>
      </x:c>
      <x:c r="L1" s="3" t="str">
        <x:v>Frozen Sample Manifest</x:v>
      </x:c>
      <x:c r="M1" s="3" t="str">
        <x:v>Frozen Sample Manifest</x:v>
      </x:c>
      <x:c r="N1" s="3" t="str">
        <x:v>Frozen Sample Manifest</x:v>
      </x:c>
      <x:c r="O1" s="3" t="str">
        <x:v>Frozen Sample Manifest</x:v>
      </x:c>
      <x:c r="P1" s="3" t="str">
        <x:v>Frozen Sample Manifest</x:v>
      </x:c>
      <x:c r="Q1" s="3" t="str">
        <x:v>Frozen Sample Manifest</x:v>
      </x:c>
    </x:row>
    <x:row r="2" ht="30" customHeight="1">
      <x:c r="A2" s="7" t="str">
        <x:v>Public references and licenses are verified. Yellow collection cells remain incomplete; IDs and allocation are locked.</x:v>
      </x:c>
      <x:c r="B2" s="7" t="str">
        <x:v>Public references and licenses are verified. Yellow collection cells remain incomplete; IDs and allocation are locked.</x:v>
      </x:c>
      <x:c r="C2" s="7" t="str">
        <x:v>Public references and licenses are verified. Yellow collection cells remain incomplete; IDs and allocation are locked.</x:v>
      </x:c>
      <x:c r="D2" s="7" t="str">
        <x:v>Public references and licenses are verified. Yellow collection cells remain incomplete; IDs and allocation are locked.</x:v>
      </x:c>
      <x:c r="E2" s="7" t="str">
        <x:v>Public references and licenses are verified. Yellow collection cells remain incomplete; IDs and allocation are locked.</x:v>
      </x:c>
      <x:c r="F2" s="7" t="str">
        <x:v>Public references and licenses are verified. Yellow collection cells remain incomplete; IDs and allocation are locked.</x:v>
      </x:c>
      <x:c r="G2" s="7" t="str">
        <x:v>Public references and licenses are verified. Yellow collection cells remain incomplete; IDs and allocation are locked.</x:v>
      </x:c>
      <x:c r="H2" s="7" t="str">
        <x:v>Public references and licenses are verified. Yellow collection cells remain incomplete; IDs and allocation are locked.</x:v>
      </x:c>
      <x:c r="I2" s="7" t="str">
        <x:v>Public references and licenses are verified. Yellow collection cells remain incomplete; IDs and allocation are locked.</x:v>
      </x:c>
      <x:c r="J2" s="7" t="str">
        <x:v>Public references and licenses are verified. Yellow collection cells remain incomplete; IDs and allocation are locked.</x:v>
      </x:c>
      <x:c r="K2" s="7" t="str">
        <x:v>Public references and licenses are verified. Yellow collection cells remain incomplete; IDs and allocation are locked.</x:v>
      </x:c>
      <x:c r="L2" s="7" t="str">
        <x:v>Public references and licenses are verified. Yellow collection cells remain incomplete; IDs and allocation are locked.</x:v>
      </x:c>
      <x:c r="M2" s="7" t="str">
        <x:v>Public references and licenses are verified. Yellow collection cells remain incomplete; IDs and allocation are locked.</x:v>
      </x:c>
      <x:c r="N2" s="7" t="str">
        <x:v>Public references and licenses are verified. Yellow collection cells remain incomplete; IDs and allocation are locked.</x:v>
      </x:c>
      <x:c r="O2" s="7" t="str">
        <x:v>Public references and licenses are verified. Yellow collection cells remain incomplete; IDs and allocation are locked.</x:v>
      </x:c>
      <x:c r="P2" s="7" t="str">
        <x:v>Public references and licenses are verified. Yellow collection cells remain incomplete; IDs and allocation are locked.</x:v>
      </x:c>
      <x:c r="Q2" s="7" t="str">
        <x:v>Public references and licenses are verified. Yellow collection cells remain incomplete; IDs and allocation are locked.</x:v>
      </x:c>
    </x:row>
    <x:row r="4" ht="30" customHeight="1">
      <x:c r="A4" s="14" t="str">
        <x:v>sample_id</x:v>
      </x:c>
      <x:c r="B4" s="58" t="str">
        <x:v>product_slot</x:v>
      </x:c>
      <x:c r="C4" s="58" t="str">
        <x:v>category</x:v>
      </x:c>
      <x:c r="D4" s="58" t="str">
        <x:v>campaign_type</x:v>
      </x:c>
      <x:c r="E4" s="58" t="str">
        <x:v>market</x:v>
      </x:c>
      <x:c r="F4" s="58" t="str">
        <x:v>language</x:v>
      </x:c>
      <x:c r="G4" s="58" t="str">
        <x:v>direction</x:v>
      </x:c>
      <x:c r="H4" s="58" t="str">
        <x:v>logo_condition</x:v>
      </x:c>
      <x:c r="I4" s="58" t="str">
        <x:v>product_source_url</x:v>
      </x:c>
      <x:c r="J4" s="58" t="str">
        <x:v>logo_source_url</x:v>
      </x:c>
      <x:c r="K4" s="58" t="str">
        <x:v>license_or_status</x:v>
      </x:c>
      <x:c r="L4" s="58" t="str">
        <x:v>trademark_note</x:v>
      </x:c>
      <x:c r="M4" s="58" t="str">
        <x:v>primary_color</x:v>
      </x:c>
      <x:c r="N4" s="58" t="str">
        <x:v>generated_asset_url</x:v>
      </x:c>
      <x:c r="O4" s="58" t="str">
        <x:v>generation_attempt</x:v>
      </x:c>
      <x:c r="P4" s="58" t="str">
        <x:v>source_ready</x:v>
      </x:c>
      <x:c r="Q4" s="15" t="str">
        <x:v>collection_status</x:v>
      </x:c>
    </x:row>
    <x:row r="5">
      <x:c r="A5" s="23" t="str">
        <x:v>AR-P01-US</x:v>
      </x:c>
      <x:c r="B5" s="62" t="str">
        <x:v>P01</x:v>
      </x:c>
      <x:c r="C5" s="62" t="str">
        <x:v>reusable_bottle</x:v>
      </x:c>
      <x:c r="D5" s="62" t="str">
        <x:v>poster</x:v>
      </x:c>
      <x:c r="E5" s="62" t="str">
        <x:v>US</x:v>
      </x:c>
      <x:c r="F5" s="62" t="str">
        <x:v>en</x:v>
      </x:c>
      <x:c r="G5" s="62" t="str">
        <x:v>LTR</x:v>
      </x:c>
      <x:c r="H5" s="62" t="str">
        <x:v>present</x:v>
      </x:c>
      <x:c r="I5" s="65" t="str">
        <x:v>https://upload.wikimedia.org/wikipedia/commons/thumb/0/08/Stainless_Steel_Water_Bottle.jpg/1280px-Stainless_Steel_Water_Bottle.jpg</x:v>
      </x:c>
      <x:c r="J5" s="65" t="str">
        <x:v>https://upload.wikimedia.org/wikipedia/commons/thumb/8/81/Wikimedia-logo.svg/1280px-Wikimedia-logo.svg.png</x:v>
      </x:c>
      <x:c r="K5" s="65" t="str">
        <x:v>Product: CC BY-SA 4.0; Logo: Public domain (copyright-ineligible)</x:v>
      </x:c>
      <x:c r="L5" s="65" t="str">
        <x:v>Product: No distinct trademark detected in the reviewed image. Logo: Official Wikimedia trademark; local technical evaluation only. Wikimedia trademark policy and visual identity rules still apply.</x:v>
      </x:c>
      <x:c r="M5" s="65" t="str"/>
      <x:c r="N5" s="65" t="str"/>
      <x:c r="O5" s="71" t="n">
        <x:v>1</x:v>
      </x:c>
      <x:c r="P5" s="65" t="str">
        <x:v>Yes</x:v>
      </x:c>
      <x:c r="Q5" s="68" t="str">
        <x:v>Not started</x:v>
      </x:c>
    </x:row>
    <x:row r="6">
      <x:c r="A6" s="25" t="str">
        <x:v>AR-P01-DE</x:v>
      </x:c>
      <x:c r="B6" s="63" t="str">
        <x:v>P01</x:v>
      </x:c>
      <x:c r="C6" s="63" t="str">
        <x:v>reusable_bottle</x:v>
      </x:c>
      <x:c r="D6" s="63" t="str">
        <x:v>poster</x:v>
      </x:c>
      <x:c r="E6" s="63" t="str">
        <x:v>DE</x:v>
      </x:c>
      <x:c r="F6" s="63" t="str">
        <x:v>de</x:v>
      </x:c>
      <x:c r="G6" s="63" t="str">
        <x:v>LTR</x:v>
      </x:c>
      <x:c r="H6" s="63" t="str">
        <x:v>present</x:v>
      </x:c>
      <x:c r="I6" s="66" t="str">
        <x:v>https://upload.wikimedia.org/wikipedia/commons/thumb/0/08/Stainless_Steel_Water_Bottle.jpg/1280px-Stainless_Steel_Water_Bottle.jpg</x:v>
      </x:c>
      <x:c r="J6" s="66" t="str">
        <x:v>https://upload.wikimedia.org/wikipedia/commons/thumb/8/81/Wikimedia-logo.svg/1280px-Wikimedia-logo.svg.png</x:v>
      </x:c>
      <x:c r="K6" s="66" t="str">
        <x:v>Product: CC BY-SA 4.0; Logo: Public domain (copyright-ineligible)</x:v>
      </x:c>
      <x:c r="L6" s="66" t="str">
        <x:v>Product: No distinct trademark detected in the reviewed image. Logo: Official Wikimedia trademark; local technical evaluation only. Wikimedia trademark policy and visual identity rules still apply.</x:v>
      </x:c>
      <x:c r="M6" s="66" t="str"/>
      <x:c r="N6" s="66" t="str"/>
      <x:c r="O6" s="72" t="n">
        <x:v>1</x:v>
      </x:c>
      <x:c r="P6" s="66" t="str">
        <x:v>Yes</x:v>
      </x:c>
      <x:c r="Q6" s="69" t="str">
        <x:v>Not started</x:v>
      </x:c>
    </x:row>
    <x:row r="7">
      <x:c r="A7" s="25" t="str">
        <x:v>AR-P01-JP</x:v>
      </x:c>
      <x:c r="B7" s="63" t="str">
        <x:v>P01</x:v>
      </x:c>
      <x:c r="C7" s="63" t="str">
        <x:v>reusable_bottle</x:v>
      </x:c>
      <x:c r="D7" s="63" t="str">
        <x:v>poster</x:v>
      </x:c>
      <x:c r="E7" s="63" t="str">
        <x:v>JP</x:v>
      </x:c>
      <x:c r="F7" s="63" t="str">
        <x:v>ja</x:v>
      </x:c>
      <x:c r="G7" s="63" t="str">
        <x:v>LTR</x:v>
      </x:c>
      <x:c r="H7" s="63" t="str">
        <x:v>present</x:v>
      </x:c>
      <x:c r="I7" s="66" t="str">
        <x:v>https://upload.wikimedia.org/wikipedia/commons/thumb/0/08/Stainless_Steel_Water_Bottle.jpg/1280px-Stainless_Steel_Water_Bottle.jpg</x:v>
      </x:c>
      <x:c r="J7" s="66" t="str">
        <x:v>https://upload.wikimedia.org/wikipedia/commons/thumb/8/81/Wikimedia-logo.svg/1280px-Wikimedia-logo.svg.png</x:v>
      </x:c>
      <x:c r="K7" s="66" t="str">
        <x:v>Product: CC BY-SA 4.0; Logo: Public domain (copyright-ineligible)</x:v>
      </x:c>
      <x:c r="L7" s="66" t="str">
        <x:v>Product: No distinct trademark detected in the reviewed image. Logo: Official Wikimedia trademark; local technical evaluation only. Wikimedia trademark policy and visual identity rules still apply.</x:v>
      </x:c>
      <x:c r="M7" s="66" t="str"/>
      <x:c r="N7" s="66" t="str"/>
      <x:c r="O7" s="72" t="n">
        <x:v>1</x:v>
      </x:c>
      <x:c r="P7" s="66" t="str">
        <x:v>Yes</x:v>
      </x:c>
      <x:c r="Q7" s="69" t="str">
        <x:v>Not started</x:v>
      </x:c>
    </x:row>
    <x:row r="8">
      <x:c r="A8" s="25" t="str">
        <x:v>AR-P01-KR</x:v>
      </x:c>
      <x:c r="B8" s="63" t="str">
        <x:v>P01</x:v>
      </x:c>
      <x:c r="C8" s="63" t="str">
        <x:v>reusable_bottle</x:v>
      </x:c>
      <x:c r="D8" s="63" t="str">
        <x:v>poster</x:v>
      </x:c>
      <x:c r="E8" s="63" t="str">
        <x:v>KR</x:v>
      </x:c>
      <x:c r="F8" s="63" t="str">
        <x:v>ko</x:v>
      </x:c>
      <x:c r="G8" s="63" t="str">
        <x:v>LTR</x:v>
      </x:c>
      <x:c r="H8" s="63" t="str">
        <x:v>present</x:v>
      </x:c>
      <x:c r="I8" s="66" t="str">
        <x:v>https://upload.wikimedia.org/wikipedia/commons/thumb/0/08/Stainless_Steel_Water_Bottle.jpg/1280px-Stainless_Steel_Water_Bottle.jpg</x:v>
      </x:c>
      <x:c r="J8" s="66" t="str">
        <x:v>https://upload.wikimedia.org/wikipedia/commons/thumb/8/81/Wikimedia-logo.svg/1280px-Wikimedia-logo.svg.png</x:v>
      </x:c>
      <x:c r="K8" s="66" t="str">
        <x:v>Product: CC BY-SA 4.0; Logo: Public domain (copyright-ineligible)</x:v>
      </x:c>
      <x:c r="L8" s="66" t="str">
        <x:v>Product: No distinct trademark detected in the reviewed image. Logo: Official Wikimedia trademark; local technical evaluation only. Wikimedia trademark policy and visual identity rules still apply.</x:v>
      </x:c>
      <x:c r="M8" s="66" t="str"/>
      <x:c r="N8" s="66" t="str"/>
      <x:c r="O8" s="72" t="n">
        <x:v>1</x:v>
      </x:c>
      <x:c r="P8" s="66" t="str">
        <x:v>Yes</x:v>
      </x:c>
      <x:c r="Q8" s="69" t="str">
        <x:v>Not started</x:v>
      </x:c>
    </x:row>
    <x:row r="9">
      <x:c r="A9" s="25" t="str">
        <x:v>AR-P01-AE</x:v>
      </x:c>
      <x:c r="B9" s="63" t="str">
        <x:v>P01</x:v>
      </x:c>
      <x:c r="C9" s="63" t="str">
        <x:v>reusable_bottle</x:v>
      </x:c>
      <x:c r="D9" s="63" t="str">
        <x:v>poster</x:v>
      </x:c>
      <x:c r="E9" s="63" t="str">
        <x:v>AE</x:v>
      </x:c>
      <x:c r="F9" s="63" t="str">
        <x:v>ar</x:v>
      </x:c>
      <x:c r="G9" s="63" t="str">
        <x:v>RTL</x:v>
      </x:c>
      <x:c r="H9" s="63" t="str">
        <x:v>present</x:v>
      </x:c>
      <x:c r="I9" s="66" t="str">
        <x:v>https://upload.wikimedia.org/wikipedia/commons/thumb/0/08/Stainless_Steel_Water_Bottle.jpg/1280px-Stainless_Steel_Water_Bottle.jpg</x:v>
      </x:c>
      <x:c r="J9" s="66" t="str">
        <x:v>https://upload.wikimedia.org/wikipedia/commons/thumb/8/81/Wikimedia-logo.svg/1280px-Wikimedia-logo.svg.png</x:v>
      </x:c>
      <x:c r="K9" s="66" t="str">
        <x:v>Product: CC BY-SA 4.0; Logo: Public domain (copyright-ineligible)</x:v>
      </x:c>
      <x:c r="L9" s="66" t="str">
        <x:v>Product: No distinct trademark detected in the reviewed image. Logo: Official Wikimedia trademark; local technical evaluation only. Wikimedia trademark policy and visual identity rules still apply.</x:v>
      </x:c>
      <x:c r="M9" s="66" t="str"/>
      <x:c r="N9" s="66" t="str"/>
      <x:c r="O9" s="72" t="n">
        <x:v>1</x:v>
      </x:c>
      <x:c r="P9" s="66" t="str">
        <x:v>Yes</x:v>
      </x:c>
      <x:c r="Q9" s="69" t="str">
        <x:v>Not started</x:v>
      </x:c>
    </x:row>
    <x:row r="10">
      <x:c r="A10" s="25" t="str">
        <x:v>AR-P02-US</x:v>
      </x:c>
      <x:c r="B10" s="63" t="str">
        <x:v>P02</x:v>
      </x:c>
      <x:c r="C10" s="63" t="str">
        <x:v>skin_care_bottle</x:v>
      </x:c>
      <x:c r="D10" s="63" t="str">
        <x:v>poster</x:v>
      </x:c>
      <x:c r="E10" s="63" t="str">
        <x:v>US</x:v>
      </x:c>
      <x:c r="F10" s="63" t="str">
        <x:v>en</x:v>
      </x:c>
      <x:c r="G10" s="63" t="str">
        <x:v>LTR</x:v>
      </x:c>
      <x:c r="H10" s="63" t="str">
        <x:v>present</x:v>
      </x:c>
      <x:c r="I10" s="66" t="str">
        <x:v>https://upload.wikimedia.org/wikipedia/commons/b/b1/Eye_Dropper_Bottle_1.jpg</x:v>
      </x:c>
      <x:c r="J10" s="66" t="str">
        <x:v>https://upload.wikimedia.org/wikipedia/commons/0/04/Debian_logo.png</x:v>
      </x:c>
      <x:c r="K10" s="66" t="str">
        <x:v>Product: CC0 1.0; Logo: Swirl: LGPL-3.0-or-later OR CC BY-SA 3.0; text: public-domain textlogo</x:v>
      </x:c>
      <x:c r="L10" s="66" t="str">
        <x:v>Product: No distinct trademark detected in the reviewed image. Logo: Debian mark; local technical evaluation only. The whole logo remains subject to trademark restrictions.</x:v>
      </x:c>
      <x:c r="M10" s="66" t="str"/>
      <x:c r="N10" s="66" t="str"/>
      <x:c r="O10" s="72" t="n">
        <x:v>1</x:v>
      </x:c>
      <x:c r="P10" s="66" t="str">
        <x:v>Yes</x:v>
      </x:c>
      <x:c r="Q10" s="69" t="str">
        <x:v>Not started</x:v>
      </x:c>
    </x:row>
    <x:row r="11">
      <x:c r="A11" s="25" t="str">
        <x:v>AR-P02-DE</x:v>
      </x:c>
      <x:c r="B11" s="63" t="str">
        <x:v>P02</x:v>
      </x:c>
      <x:c r="C11" s="63" t="str">
        <x:v>skin_care_bottle</x:v>
      </x:c>
      <x:c r="D11" s="63" t="str">
        <x:v>poster</x:v>
      </x:c>
      <x:c r="E11" s="63" t="str">
        <x:v>DE</x:v>
      </x:c>
      <x:c r="F11" s="63" t="str">
        <x:v>de</x:v>
      </x:c>
      <x:c r="G11" s="63" t="str">
        <x:v>LTR</x:v>
      </x:c>
      <x:c r="H11" s="63" t="str">
        <x:v>present</x:v>
      </x:c>
      <x:c r="I11" s="66" t="str">
        <x:v>https://upload.wikimedia.org/wikipedia/commons/b/b1/Eye_Dropper_Bottle_1.jpg</x:v>
      </x:c>
      <x:c r="J11" s="66" t="str">
        <x:v>https://upload.wikimedia.org/wikipedia/commons/0/04/Debian_logo.png</x:v>
      </x:c>
      <x:c r="K11" s="66" t="str">
        <x:v>Product: CC0 1.0; Logo: Swirl: LGPL-3.0-or-later OR CC BY-SA 3.0; text: public-domain textlogo</x:v>
      </x:c>
      <x:c r="L11" s="66" t="str">
        <x:v>Product: No distinct trademark detected in the reviewed image. Logo: Debian mark; local technical evaluation only. The whole logo remains subject to trademark restrictions.</x:v>
      </x:c>
      <x:c r="M11" s="66" t="str"/>
      <x:c r="N11" s="66" t="str"/>
      <x:c r="O11" s="72" t="n">
        <x:v>1</x:v>
      </x:c>
      <x:c r="P11" s="66" t="str">
        <x:v>Yes</x:v>
      </x:c>
      <x:c r="Q11" s="69" t="str">
        <x:v>Not started</x:v>
      </x:c>
    </x:row>
    <x:row r="12">
      <x:c r="A12" s="25" t="str">
        <x:v>AR-P02-JP</x:v>
      </x:c>
      <x:c r="B12" s="63" t="str">
        <x:v>P02</x:v>
      </x:c>
      <x:c r="C12" s="63" t="str">
        <x:v>skin_care_bottle</x:v>
      </x:c>
      <x:c r="D12" s="63" t="str">
        <x:v>poster</x:v>
      </x:c>
      <x:c r="E12" s="63" t="str">
        <x:v>JP</x:v>
      </x:c>
      <x:c r="F12" s="63" t="str">
        <x:v>ja</x:v>
      </x:c>
      <x:c r="G12" s="63" t="str">
        <x:v>LTR</x:v>
      </x:c>
      <x:c r="H12" s="63" t="str">
        <x:v>present</x:v>
      </x:c>
      <x:c r="I12" s="66" t="str">
        <x:v>https://upload.wikimedia.org/wikipedia/commons/b/b1/Eye_Dropper_Bottle_1.jpg</x:v>
      </x:c>
      <x:c r="J12" s="66" t="str">
        <x:v>https://upload.wikimedia.org/wikipedia/commons/0/04/Debian_logo.png</x:v>
      </x:c>
      <x:c r="K12" s="66" t="str">
        <x:v>Product: CC0 1.0; Logo: Swirl: LGPL-3.0-or-later OR CC BY-SA 3.0; text: public-domain textlogo</x:v>
      </x:c>
      <x:c r="L12" s="66" t="str">
        <x:v>Product: No distinct trademark detected in the reviewed image. Logo: Debian mark; local technical evaluation only. The whole logo remains subject to trademark restrictions.</x:v>
      </x:c>
      <x:c r="M12" s="66" t="str"/>
      <x:c r="N12" s="66" t="str"/>
      <x:c r="O12" s="72" t="n">
        <x:v>1</x:v>
      </x:c>
      <x:c r="P12" s="66" t="str">
        <x:v>Yes</x:v>
      </x:c>
      <x:c r="Q12" s="69" t="str">
        <x:v>Not started</x:v>
      </x:c>
    </x:row>
    <x:row r="13">
      <x:c r="A13" s="25" t="str">
        <x:v>AR-P02-KR</x:v>
      </x:c>
      <x:c r="B13" s="63" t="str">
        <x:v>P02</x:v>
      </x:c>
      <x:c r="C13" s="63" t="str">
        <x:v>skin_care_bottle</x:v>
      </x:c>
      <x:c r="D13" s="63" t="str">
        <x:v>poster</x:v>
      </x:c>
      <x:c r="E13" s="63" t="str">
        <x:v>KR</x:v>
      </x:c>
      <x:c r="F13" s="63" t="str">
        <x:v>ko</x:v>
      </x:c>
      <x:c r="G13" s="63" t="str">
        <x:v>LTR</x:v>
      </x:c>
      <x:c r="H13" s="63" t="str">
        <x:v>present</x:v>
      </x:c>
      <x:c r="I13" s="66" t="str">
        <x:v>https://upload.wikimedia.org/wikipedia/commons/b/b1/Eye_Dropper_Bottle_1.jpg</x:v>
      </x:c>
      <x:c r="J13" s="66" t="str">
        <x:v>https://upload.wikimedia.org/wikipedia/commons/0/04/Debian_logo.png</x:v>
      </x:c>
      <x:c r="K13" s="66" t="str">
        <x:v>Product: CC0 1.0; Logo: Swirl: LGPL-3.0-or-later OR CC BY-SA 3.0; text: public-domain textlogo</x:v>
      </x:c>
      <x:c r="L13" s="66" t="str">
        <x:v>Product: No distinct trademark detected in the reviewed image. Logo: Debian mark; local technical evaluation only. The whole logo remains subject to trademark restrictions.</x:v>
      </x:c>
      <x:c r="M13" s="66" t="str"/>
      <x:c r="N13" s="66" t="str"/>
      <x:c r="O13" s="72" t="n">
        <x:v>1</x:v>
      </x:c>
      <x:c r="P13" s="66" t="str">
        <x:v>Yes</x:v>
      </x:c>
      <x:c r="Q13" s="69" t="str">
        <x:v>Not started</x:v>
      </x:c>
    </x:row>
    <x:row r="14">
      <x:c r="A14" s="25" t="str">
        <x:v>AR-P02-AE</x:v>
      </x:c>
      <x:c r="B14" s="63" t="str">
        <x:v>P02</x:v>
      </x:c>
      <x:c r="C14" s="63" t="str">
        <x:v>skin_care_bottle</x:v>
      </x:c>
      <x:c r="D14" s="63" t="str">
        <x:v>poster</x:v>
      </x:c>
      <x:c r="E14" s="63" t="str">
        <x:v>AE</x:v>
      </x:c>
      <x:c r="F14" s="63" t="str">
        <x:v>ar</x:v>
      </x:c>
      <x:c r="G14" s="63" t="str">
        <x:v>RTL</x:v>
      </x:c>
      <x:c r="H14" s="63" t="str">
        <x:v>present</x:v>
      </x:c>
      <x:c r="I14" s="66" t="str">
        <x:v>https://upload.wikimedia.org/wikipedia/commons/b/b1/Eye_Dropper_Bottle_1.jpg</x:v>
      </x:c>
      <x:c r="J14" s="66" t="str">
        <x:v>https://upload.wikimedia.org/wikipedia/commons/0/04/Debian_logo.png</x:v>
      </x:c>
      <x:c r="K14" s="66" t="str">
        <x:v>Product: CC0 1.0; Logo: Swirl: LGPL-3.0-or-later OR CC BY-SA 3.0; text: public-domain textlogo</x:v>
      </x:c>
      <x:c r="L14" s="66" t="str">
        <x:v>Product: No distinct trademark detected in the reviewed image. Logo: Debian mark; local technical evaluation only. The whole logo remains subject to trademark restrictions.</x:v>
      </x:c>
      <x:c r="M14" s="66" t="str"/>
      <x:c r="N14" s="66" t="str"/>
      <x:c r="O14" s="72" t="n">
        <x:v>1</x:v>
      </x:c>
      <x:c r="P14" s="66" t="str">
        <x:v>Yes</x:v>
      </x:c>
      <x:c r="Q14" s="69" t="str">
        <x:v>Not started</x:v>
      </x:c>
    </x:row>
    <x:row r="15">
      <x:c r="A15" s="25" t="str">
        <x:v>AR-P03-US</x:v>
      </x:c>
      <x:c r="B15" s="63" t="str">
        <x:v>P03</x:v>
      </x:c>
      <x:c r="C15" s="63" t="str">
        <x:v>wireless_earbuds</x:v>
      </x:c>
      <x:c r="D15" s="63" t="str">
        <x:v>poster</x:v>
      </x:c>
      <x:c r="E15" s="63" t="str">
        <x:v>US</x:v>
      </x:c>
      <x:c r="F15" s="63" t="str">
        <x:v>en</x:v>
      </x:c>
      <x:c r="G15" s="63" t="str">
        <x:v>LTR</x:v>
      </x:c>
      <x:c r="H15" s="63" t="str">
        <x:v>present</x:v>
      </x:c>
      <x:c r="I15" s="66" t="str">
        <x:v>https://upload.wikimedia.org/wikipedia/commons/thumb/9/97/%D0%91%D0%B5%D1%81%D0%BF%D1%80%D0%BE%D0%B2%D0%BE%D0%B4%D0%BD%D1%8B%D0%B5_%D0%BD%D0%B0%D1%83%D1%88%D0%BD%D0%B8%D0%BA%D0%B8.jpg/1280px-%D0%91%D0%B5%D1%81%D0%BF%D1%80%D0%BE%D0%B2%D0%BE%D0%B4%D0%BD%D1%8B%D0%B5_%D0%BD%D0%B0%D1%83%D1%88%D0%BD%D0%B8%D0%BA%D0%B8.jpg</x:v>
      </x:c>
      <x:c r="J15" s="66" t="str">
        <x:v>https://upload.wikimedia.org/wikipedia/commons/thumb/f/f8/Python_logo_and_wordmark.svg/1280px-Python_logo_and_wordmark.svg.png</x:v>
      </x:c>
      <x:c r="K15" s="66" t="str">
        <x:v>Product: CC0 1.0; Logo: GPL-2.0-or-later</x:v>
      </x:c>
      <x:c r="L15" s="66" t="str">
        <x:v>Product: EDIFIER and X5 markings are visible; use only in the frozen local technical evaluation. Logo: Python trademark; local technical evaluation only. Python Software Foundation trademark policy applies.</x:v>
      </x:c>
      <x:c r="M15" s="66" t="str"/>
      <x:c r="N15" s="66" t="str"/>
      <x:c r="O15" s="72" t="n">
        <x:v>1</x:v>
      </x:c>
      <x:c r="P15" s="66" t="str">
        <x:v>Yes</x:v>
      </x:c>
      <x:c r="Q15" s="69" t="str">
        <x:v>Not started</x:v>
      </x:c>
    </x:row>
    <x:row r="16">
      <x:c r="A16" s="25" t="str">
        <x:v>AR-P03-DE</x:v>
      </x:c>
      <x:c r="B16" s="63" t="str">
        <x:v>P03</x:v>
      </x:c>
      <x:c r="C16" s="63" t="str">
        <x:v>wireless_earbuds</x:v>
      </x:c>
      <x:c r="D16" s="63" t="str">
        <x:v>poster</x:v>
      </x:c>
      <x:c r="E16" s="63" t="str">
        <x:v>DE</x:v>
      </x:c>
      <x:c r="F16" s="63" t="str">
        <x:v>de</x:v>
      </x:c>
      <x:c r="G16" s="63" t="str">
        <x:v>LTR</x:v>
      </x:c>
      <x:c r="H16" s="63" t="str">
        <x:v>present</x:v>
      </x:c>
      <x:c r="I16" s="66" t="str">
        <x:v>https://upload.wikimedia.org/wikipedia/commons/thumb/9/97/%D0%91%D0%B5%D1%81%D0%BF%D1%80%D0%BE%D0%B2%D0%BE%D0%B4%D0%BD%D1%8B%D0%B5_%D0%BD%D0%B0%D1%83%D1%88%D0%BD%D0%B8%D0%BA%D0%B8.jpg/1280px-%D0%91%D0%B5%D1%81%D0%BF%D1%80%D0%BE%D0%B2%D0%BE%D0%B4%D0%BD%D1%8B%D0%B5_%D0%BD%D0%B0%D1%83%D1%88%D0%BD%D0%B8%D0%BA%D0%B8.jpg</x:v>
      </x:c>
      <x:c r="J16" s="66" t="str">
        <x:v>https://upload.wikimedia.org/wikipedia/commons/thumb/f/f8/Python_logo_and_wordmark.svg/1280px-Python_logo_and_wordmark.svg.png</x:v>
      </x:c>
      <x:c r="K16" s="66" t="str">
        <x:v>Product: CC0 1.0; Logo: GPL-2.0-or-later</x:v>
      </x:c>
      <x:c r="L16" s="66" t="str">
        <x:v>Product: EDIFIER and X5 markings are visible; use only in the frozen local technical evaluation. Logo: Python trademark; local technical evaluation only. Python Software Foundation trademark policy applies.</x:v>
      </x:c>
      <x:c r="M16" s="66" t="str"/>
      <x:c r="N16" s="66" t="str"/>
      <x:c r="O16" s="72" t="n">
        <x:v>1</x:v>
      </x:c>
      <x:c r="P16" s="66" t="str">
        <x:v>Yes</x:v>
      </x:c>
      <x:c r="Q16" s="69" t="str">
        <x:v>Not started</x:v>
      </x:c>
    </x:row>
    <x:row r="17">
      <x:c r="A17" s="25" t="str">
        <x:v>AR-P03-JP</x:v>
      </x:c>
      <x:c r="B17" s="63" t="str">
        <x:v>P03</x:v>
      </x:c>
      <x:c r="C17" s="63" t="str">
        <x:v>wireless_earbuds</x:v>
      </x:c>
      <x:c r="D17" s="63" t="str">
        <x:v>poster</x:v>
      </x:c>
      <x:c r="E17" s="63" t="str">
        <x:v>JP</x:v>
      </x:c>
      <x:c r="F17" s="63" t="str">
        <x:v>ja</x:v>
      </x:c>
      <x:c r="G17" s="63" t="str">
        <x:v>LTR</x:v>
      </x:c>
      <x:c r="H17" s="63" t="str">
        <x:v>present</x:v>
      </x:c>
      <x:c r="I17" s="66" t="str">
        <x:v>https://upload.wikimedia.org/wikipedia/commons/thumb/9/97/%D0%91%D0%B5%D1%81%D0%BF%D1%80%D0%BE%D0%B2%D0%BE%D0%B4%D0%BD%D1%8B%D0%B5_%D0%BD%D0%B0%D1%83%D1%88%D0%BD%D0%B8%D0%BA%D0%B8.jpg/1280px-%D0%91%D0%B5%D1%81%D0%BF%D1%80%D0%BE%D0%B2%D0%BE%D0%B4%D0%BD%D1%8B%D0%B5_%D0%BD%D0%B0%D1%83%D1%88%D0%BD%D0%B8%D0%BA%D0%B8.jpg</x:v>
      </x:c>
      <x:c r="J17" s="66" t="str">
        <x:v>https://upload.wikimedia.org/wikipedia/commons/thumb/f/f8/Python_logo_and_wordmark.svg/1280px-Python_logo_and_wordmark.svg.png</x:v>
      </x:c>
      <x:c r="K17" s="66" t="str">
        <x:v>Product: CC0 1.0; Logo: GPL-2.0-or-later</x:v>
      </x:c>
      <x:c r="L17" s="66" t="str">
        <x:v>Product: EDIFIER and X5 markings are visible; use only in the frozen local technical evaluation. Logo: Python trademark; local technical evaluation only. Python Software Foundation trademark policy applies.</x:v>
      </x:c>
      <x:c r="M17" s="66" t="str"/>
      <x:c r="N17" s="66" t="str"/>
      <x:c r="O17" s="72" t="n">
        <x:v>1</x:v>
      </x:c>
      <x:c r="P17" s="66" t="str">
        <x:v>Yes</x:v>
      </x:c>
      <x:c r="Q17" s="69" t="str">
        <x:v>Not started</x:v>
      </x:c>
    </x:row>
    <x:row r="18">
      <x:c r="A18" s="25" t="str">
        <x:v>AR-P03-KR</x:v>
      </x:c>
      <x:c r="B18" s="63" t="str">
        <x:v>P03</x:v>
      </x:c>
      <x:c r="C18" s="63" t="str">
        <x:v>wireless_earbuds</x:v>
      </x:c>
      <x:c r="D18" s="63" t="str">
        <x:v>poster</x:v>
      </x:c>
      <x:c r="E18" s="63" t="str">
        <x:v>KR</x:v>
      </x:c>
      <x:c r="F18" s="63" t="str">
        <x:v>ko</x:v>
      </x:c>
      <x:c r="G18" s="63" t="str">
        <x:v>LTR</x:v>
      </x:c>
      <x:c r="H18" s="63" t="str">
        <x:v>present</x:v>
      </x:c>
      <x:c r="I18" s="66" t="str">
        <x:v>https://upload.wikimedia.org/wikipedia/commons/thumb/9/97/%D0%91%D0%B5%D1%81%D0%BF%D1%80%D0%BE%D0%B2%D0%BE%D0%B4%D0%BD%D1%8B%D0%B5_%D0%BD%D0%B0%D1%83%D1%88%D0%BD%D0%B8%D0%BA%D0%B8.jpg/1280px-%D0%91%D0%B5%D1%81%D0%BF%D1%80%D0%BE%D0%B2%D0%BE%D0%B4%D0%BD%D1%8B%D0%B5_%D0%BD%D0%B0%D1%83%D1%88%D0%BD%D0%B8%D0%BA%D0%B8.jpg</x:v>
      </x:c>
      <x:c r="J18" s="66" t="str">
        <x:v>https://upload.wikimedia.org/wikipedia/commons/thumb/f/f8/Python_logo_and_wordmark.svg/1280px-Python_logo_and_wordmark.svg.png</x:v>
      </x:c>
      <x:c r="K18" s="66" t="str">
        <x:v>Product: CC0 1.0; Logo: GPL-2.0-or-later</x:v>
      </x:c>
      <x:c r="L18" s="66" t="str">
        <x:v>Product: EDIFIER and X5 markings are visible; use only in the frozen local technical evaluation. Logo: Python trademark; local technical evaluation only. Python Software Foundation trademark policy applies.</x:v>
      </x:c>
      <x:c r="M18" s="66" t="str"/>
      <x:c r="N18" s="66" t="str"/>
      <x:c r="O18" s="72" t="n">
        <x:v>1</x:v>
      </x:c>
      <x:c r="P18" s="66" t="str">
        <x:v>Yes</x:v>
      </x:c>
      <x:c r="Q18" s="69" t="str">
        <x:v>Not started</x:v>
      </x:c>
    </x:row>
    <x:row r="19">
      <x:c r="A19" s="25" t="str">
        <x:v>AR-P03-AE</x:v>
      </x:c>
      <x:c r="B19" s="63" t="str">
        <x:v>P03</x:v>
      </x:c>
      <x:c r="C19" s="63" t="str">
        <x:v>wireless_earbuds</x:v>
      </x:c>
      <x:c r="D19" s="63" t="str">
        <x:v>poster</x:v>
      </x:c>
      <x:c r="E19" s="63" t="str">
        <x:v>AE</x:v>
      </x:c>
      <x:c r="F19" s="63" t="str">
        <x:v>ar</x:v>
      </x:c>
      <x:c r="G19" s="63" t="str">
        <x:v>RTL</x:v>
      </x:c>
      <x:c r="H19" s="63" t="str">
        <x:v>present</x:v>
      </x:c>
      <x:c r="I19" s="66" t="str">
        <x:v>https://upload.wikimedia.org/wikipedia/commons/thumb/9/97/%D0%91%D0%B5%D1%81%D0%BF%D1%80%D0%BE%D0%B2%D0%BE%D0%B4%D0%BD%D1%8B%D0%B5_%D0%BD%D0%B0%D1%83%D1%88%D0%BD%D0%B8%D0%BA%D0%B8.jpg/1280px-%D0%91%D0%B5%D1%81%D0%BF%D1%80%D0%BE%D0%B2%D0%BE%D0%B4%D0%BD%D1%8B%D0%B5_%D0%BD%D0%B0%D1%83%D1%88%D0%BD%D0%B8%D0%BA%D0%B8.jpg</x:v>
      </x:c>
      <x:c r="J19" s="66" t="str">
        <x:v>https://upload.wikimedia.org/wikipedia/commons/thumb/f/f8/Python_logo_and_wordmark.svg/1280px-Python_logo_and_wordmark.svg.png</x:v>
      </x:c>
      <x:c r="K19" s="66" t="str">
        <x:v>Product: CC0 1.0; Logo: GPL-2.0-or-later</x:v>
      </x:c>
      <x:c r="L19" s="66" t="str">
        <x:v>Product: EDIFIER and X5 markings are visible; use only in the frozen local technical evaluation. Logo: Python trademark; local technical evaluation only. Python Software Foundation trademark policy applies.</x:v>
      </x:c>
      <x:c r="M19" s="66" t="str"/>
      <x:c r="N19" s="66" t="str"/>
      <x:c r="O19" s="72" t="n">
        <x:v>1</x:v>
      </x:c>
      <x:c r="P19" s="66" t="str">
        <x:v>Yes</x:v>
      </x:c>
      <x:c r="Q19" s="69" t="str">
        <x:v>Not started</x:v>
      </x:c>
    </x:row>
    <x:row r="20">
      <x:c r="A20" s="25" t="str">
        <x:v>AR-P04-US</x:v>
      </x:c>
      <x:c r="B20" s="63" t="str">
        <x:v>P04</x:v>
      </x:c>
      <x:c r="C20" s="63" t="str">
        <x:v>running_shoe</x:v>
      </x:c>
      <x:c r="D20" s="63" t="str">
        <x:v>poster</x:v>
      </x:c>
      <x:c r="E20" s="63" t="str">
        <x:v>US</x:v>
      </x:c>
      <x:c r="F20" s="63" t="str">
        <x:v>en</x:v>
      </x:c>
      <x:c r="G20" s="63" t="str">
        <x:v>LTR</x:v>
      </x:c>
      <x:c r="H20" s="63" t="str">
        <x:v>present</x:v>
      </x:c>
      <x:c r="I20" s="66" t="str">
        <x:v>https://upload.wikimedia.org/wikipedia/commons/thumb/a/a7/Running_shoes.jpg/1280px-Running_shoes.jpg</x:v>
      </x:c>
      <x:c r="J20" s="66" t="str">
        <x:v>https://upload.wikimedia.org/wikipedia/commons/thumb/3/3c/Logo_Blender.svg/1280px-Logo_Blender.svg.png</x:v>
      </x:c>
      <x:c r="K20" s="66" t="str">
        <x:v>Product: CC BY-SA 4.0; Logo: Public domain textlogo</x:v>
      </x:c>
      <x:c r="L20" s="66" t="str">
        <x:v>Product: ASICS wordmark and defining side mark are visible; use only in the frozen local technical evaluation. Logo: Blender trademark; local technical evaluation only.</x:v>
      </x:c>
      <x:c r="M20" s="66" t="str"/>
      <x:c r="N20" s="66" t="str"/>
      <x:c r="O20" s="72" t="n">
        <x:v>1</x:v>
      </x:c>
      <x:c r="P20" s="66" t="str">
        <x:v>Yes</x:v>
      </x:c>
      <x:c r="Q20" s="69" t="str">
        <x:v>Not started</x:v>
      </x:c>
    </x:row>
    <x:row r="21">
      <x:c r="A21" s="25" t="str">
        <x:v>AR-P04-DE</x:v>
      </x:c>
      <x:c r="B21" s="63" t="str">
        <x:v>P04</x:v>
      </x:c>
      <x:c r="C21" s="63" t="str">
        <x:v>running_shoe</x:v>
      </x:c>
      <x:c r="D21" s="63" t="str">
        <x:v>poster</x:v>
      </x:c>
      <x:c r="E21" s="63" t="str">
        <x:v>DE</x:v>
      </x:c>
      <x:c r="F21" s="63" t="str">
        <x:v>de</x:v>
      </x:c>
      <x:c r="G21" s="63" t="str">
        <x:v>LTR</x:v>
      </x:c>
      <x:c r="H21" s="63" t="str">
        <x:v>present</x:v>
      </x:c>
      <x:c r="I21" s="66" t="str">
        <x:v>https://upload.wikimedia.org/wikipedia/commons/thumb/a/a7/Running_shoes.jpg/1280px-Running_shoes.jpg</x:v>
      </x:c>
      <x:c r="J21" s="66" t="str">
        <x:v>https://upload.wikimedia.org/wikipedia/commons/thumb/3/3c/Logo_Blender.svg/1280px-Logo_Blender.svg.png</x:v>
      </x:c>
      <x:c r="K21" s="66" t="str">
        <x:v>Product: CC BY-SA 4.0; Logo: Public domain textlogo</x:v>
      </x:c>
      <x:c r="L21" s="66" t="str">
        <x:v>Product: ASICS wordmark and defining side mark are visible; use only in the frozen local technical evaluation. Logo: Blender trademark; local technical evaluation only.</x:v>
      </x:c>
      <x:c r="M21" s="66" t="str"/>
      <x:c r="N21" s="66" t="str"/>
      <x:c r="O21" s="72" t="n">
        <x:v>1</x:v>
      </x:c>
      <x:c r="P21" s="66" t="str">
        <x:v>Yes</x:v>
      </x:c>
      <x:c r="Q21" s="69" t="str">
        <x:v>Not started</x:v>
      </x:c>
    </x:row>
    <x:row r="22">
      <x:c r="A22" s="25" t="str">
        <x:v>AR-P04-JP</x:v>
      </x:c>
      <x:c r="B22" s="63" t="str">
        <x:v>P04</x:v>
      </x:c>
      <x:c r="C22" s="63" t="str">
        <x:v>running_shoe</x:v>
      </x:c>
      <x:c r="D22" s="63" t="str">
        <x:v>poster</x:v>
      </x:c>
      <x:c r="E22" s="63" t="str">
        <x:v>JP</x:v>
      </x:c>
      <x:c r="F22" s="63" t="str">
        <x:v>ja</x:v>
      </x:c>
      <x:c r="G22" s="63" t="str">
        <x:v>LTR</x:v>
      </x:c>
      <x:c r="H22" s="63" t="str">
        <x:v>present</x:v>
      </x:c>
      <x:c r="I22" s="66" t="str">
        <x:v>https://upload.wikimedia.org/wikipedia/commons/thumb/a/a7/Running_shoes.jpg/1280px-Running_shoes.jpg</x:v>
      </x:c>
      <x:c r="J22" s="66" t="str">
        <x:v>https://upload.wikimedia.org/wikipedia/commons/thumb/3/3c/Logo_Blender.svg/1280px-Logo_Blender.svg.png</x:v>
      </x:c>
      <x:c r="K22" s="66" t="str">
        <x:v>Product: CC BY-SA 4.0; Logo: Public domain textlogo</x:v>
      </x:c>
      <x:c r="L22" s="66" t="str">
        <x:v>Product: ASICS wordmark and defining side mark are visible; use only in the frozen local technical evaluation. Logo: Blender trademark; local technical evaluation only.</x:v>
      </x:c>
      <x:c r="M22" s="66" t="str"/>
      <x:c r="N22" s="66" t="str"/>
      <x:c r="O22" s="72" t="n">
        <x:v>1</x:v>
      </x:c>
      <x:c r="P22" s="66" t="str">
        <x:v>Yes</x:v>
      </x:c>
      <x:c r="Q22" s="69" t="str">
        <x:v>Not started</x:v>
      </x:c>
    </x:row>
    <x:row r="23">
      <x:c r="A23" s="25" t="str">
        <x:v>AR-P04-KR</x:v>
      </x:c>
      <x:c r="B23" s="63" t="str">
        <x:v>P04</x:v>
      </x:c>
      <x:c r="C23" s="63" t="str">
        <x:v>running_shoe</x:v>
      </x:c>
      <x:c r="D23" s="63" t="str">
        <x:v>poster</x:v>
      </x:c>
      <x:c r="E23" s="63" t="str">
        <x:v>KR</x:v>
      </x:c>
      <x:c r="F23" s="63" t="str">
        <x:v>ko</x:v>
      </x:c>
      <x:c r="G23" s="63" t="str">
        <x:v>LTR</x:v>
      </x:c>
      <x:c r="H23" s="63" t="str">
        <x:v>present</x:v>
      </x:c>
      <x:c r="I23" s="66" t="str">
        <x:v>https://upload.wikimedia.org/wikipedia/commons/thumb/a/a7/Running_shoes.jpg/1280px-Running_shoes.jpg</x:v>
      </x:c>
      <x:c r="J23" s="66" t="str">
        <x:v>https://upload.wikimedia.org/wikipedia/commons/thumb/3/3c/Logo_Blender.svg/1280px-Logo_Blender.svg.png</x:v>
      </x:c>
      <x:c r="K23" s="66" t="str">
        <x:v>Product: CC BY-SA 4.0; Logo: Public domain textlogo</x:v>
      </x:c>
      <x:c r="L23" s="66" t="str">
        <x:v>Product: ASICS wordmark and defining side mark are visible; use only in the frozen local technical evaluation. Logo: Blender trademark; local technical evaluation only.</x:v>
      </x:c>
      <x:c r="M23" s="66" t="str"/>
      <x:c r="N23" s="66" t="str"/>
      <x:c r="O23" s="72" t="n">
        <x:v>1</x:v>
      </x:c>
      <x:c r="P23" s="66" t="str">
        <x:v>Yes</x:v>
      </x:c>
      <x:c r="Q23" s="69" t="str">
        <x:v>Not started</x:v>
      </x:c>
    </x:row>
    <x:row r="24">
      <x:c r="A24" s="25" t="str">
        <x:v>AR-P04-AE</x:v>
      </x:c>
      <x:c r="B24" s="63" t="str">
        <x:v>P04</x:v>
      </x:c>
      <x:c r="C24" s="63" t="str">
        <x:v>running_shoe</x:v>
      </x:c>
      <x:c r="D24" s="63" t="str">
        <x:v>poster</x:v>
      </x:c>
      <x:c r="E24" s="63" t="str">
        <x:v>AE</x:v>
      </x:c>
      <x:c r="F24" s="63" t="str">
        <x:v>ar</x:v>
      </x:c>
      <x:c r="G24" s="63" t="str">
        <x:v>RTL</x:v>
      </x:c>
      <x:c r="H24" s="63" t="str">
        <x:v>present</x:v>
      </x:c>
      <x:c r="I24" s="66" t="str">
        <x:v>https://upload.wikimedia.org/wikipedia/commons/thumb/a/a7/Running_shoes.jpg/1280px-Running_shoes.jpg</x:v>
      </x:c>
      <x:c r="J24" s="66" t="str">
        <x:v>https://upload.wikimedia.org/wikipedia/commons/thumb/3/3c/Logo_Blender.svg/1280px-Logo_Blender.svg.png</x:v>
      </x:c>
      <x:c r="K24" s="66" t="str">
        <x:v>Product: CC BY-SA 4.0; Logo: Public domain textlogo</x:v>
      </x:c>
      <x:c r="L24" s="66" t="str">
        <x:v>Product: ASICS wordmark and defining side mark are visible; use only in the frozen local technical evaluation. Logo: Blender trademark; local technical evaluation only.</x:v>
      </x:c>
      <x:c r="M24" s="66" t="str"/>
      <x:c r="N24" s="66" t="str"/>
      <x:c r="O24" s="72" t="n">
        <x:v>1</x:v>
      </x:c>
      <x:c r="P24" s="66" t="str">
        <x:v>Yes</x:v>
      </x:c>
      <x:c r="Q24" s="69" t="str">
        <x:v>Not started</x:v>
      </x:c>
    </x:row>
    <x:row r="25">
      <x:c r="A25" s="25" t="str">
        <x:v>AR-P05-US</x:v>
      </x:c>
      <x:c r="B25" s="63" t="str">
        <x:v>P05</x:v>
      </x:c>
      <x:c r="C25" s="63" t="str">
        <x:v>backpack</x:v>
      </x:c>
      <x:c r="D25" s="63" t="str">
        <x:v>social_post</x:v>
      </x:c>
      <x:c r="E25" s="63" t="str">
        <x:v>US</x:v>
      </x:c>
      <x:c r="F25" s="63" t="str">
        <x:v>en</x:v>
      </x:c>
      <x:c r="G25" s="63" t="str">
        <x:v>LTR</x:v>
      </x:c>
      <x:c r="H25" s="63" t="str">
        <x:v>present</x:v>
      </x:c>
      <x:c r="I25" s="66" t="str">
        <x:v>https://upload.wikimedia.org/wikipedia/commons/thumb/2/2c/School_bag_backpack.jpg/1280px-School_bag_backpack.jpg</x:v>
      </x:c>
      <x:c r="J25" s="66" t="str">
        <x:v>https://upload.wikimedia.org/wikipedia/commons/thumb/e/e0/Git-logo.svg/1280px-Git-logo.svg.png</x:v>
      </x:c>
      <x:c r="K25" s="66" t="str">
        <x:v>Product: CC BY-SA 3.0; Logo: CC BY 3.0</x:v>
      </x:c>
      <x:c r="L25" s="66" t="str">
        <x:v>Product: A GRIP label is visible; treat it as a possible mark and use only in the frozen local technical evaluation. Logo: Git trademark; local technical evaluation only. Attribution to Jason Long is required.</x:v>
      </x:c>
      <x:c r="M25" s="66" t="str"/>
      <x:c r="N25" s="66" t="str"/>
      <x:c r="O25" s="72" t="n">
        <x:v>1</x:v>
      </x:c>
      <x:c r="P25" s="66" t="str">
        <x:v>Yes</x:v>
      </x:c>
      <x:c r="Q25" s="69" t="str">
        <x:v>Not started</x:v>
      </x:c>
    </x:row>
    <x:row r="26">
      <x:c r="A26" s="25" t="str">
        <x:v>AR-P05-DE</x:v>
      </x:c>
      <x:c r="B26" s="63" t="str">
        <x:v>P05</x:v>
      </x:c>
      <x:c r="C26" s="63" t="str">
        <x:v>backpack</x:v>
      </x:c>
      <x:c r="D26" s="63" t="str">
        <x:v>social_post</x:v>
      </x:c>
      <x:c r="E26" s="63" t="str">
        <x:v>DE</x:v>
      </x:c>
      <x:c r="F26" s="63" t="str">
        <x:v>de</x:v>
      </x:c>
      <x:c r="G26" s="63" t="str">
        <x:v>LTR</x:v>
      </x:c>
      <x:c r="H26" s="63" t="str">
        <x:v>present</x:v>
      </x:c>
      <x:c r="I26" s="66" t="str">
        <x:v>https://upload.wikimedia.org/wikipedia/commons/thumb/2/2c/School_bag_backpack.jpg/1280px-School_bag_backpack.jpg</x:v>
      </x:c>
      <x:c r="J26" s="66" t="str">
        <x:v>https://upload.wikimedia.org/wikipedia/commons/thumb/e/e0/Git-logo.svg/1280px-Git-logo.svg.png</x:v>
      </x:c>
      <x:c r="K26" s="66" t="str">
        <x:v>Product: CC BY-SA 3.0; Logo: CC BY 3.0</x:v>
      </x:c>
      <x:c r="L26" s="66" t="str">
        <x:v>Product: A GRIP label is visible; treat it as a possible mark and use only in the frozen local technical evaluation. Logo: Git trademark; local technical evaluation only. Attribution to Jason Long is required.</x:v>
      </x:c>
      <x:c r="M26" s="66" t="str"/>
      <x:c r="N26" s="66" t="str"/>
      <x:c r="O26" s="72" t="n">
        <x:v>1</x:v>
      </x:c>
      <x:c r="P26" s="66" t="str">
        <x:v>Yes</x:v>
      </x:c>
      <x:c r="Q26" s="69" t="str">
        <x:v>Not started</x:v>
      </x:c>
    </x:row>
    <x:row r="27">
      <x:c r="A27" s="25" t="str">
        <x:v>AR-P05-JP</x:v>
      </x:c>
      <x:c r="B27" s="63" t="str">
        <x:v>P05</x:v>
      </x:c>
      <x:c r="C27" s="63" t="str">
        <x:v>backpack</x:v>
      </x:c>
      <x:c r="D27" s="63" t="str">
        <x:v>social_post</x:v>
      </x:c>
      <x:c r="E27" s="63" t="str">
        <x:v>JP</x:v>
      </x:c>
      <x:c r="F27" s="63" t="str">
        <x:v>ja</x:v>
      </x:c>
      <x:c r="G27" s="63" t="str">
        <x:v>LTR</x:v>
      </x:c>
      <x:c r="H27" s="63" t="str">
        <x:v>present</x:v>
      </x:c>
      <x:c r="I27" s="66" t="str">
        <x:v>https://upload.wikimedia.org/wikipedia/commons/thumb/2/2c/School_bag_backpack.jpg/1280px-School_bag_backpack.jpg</x:v>
      </x:c>
      <x:c r="J27" s="66" t="str">
        <x:v>https://upload.wikimedia.org/wikipedia/commons/thumb/e/e0/Git-logo.svg/1280px-Git-logo.svg.png</x:v>
      </x:c>
      <x:c r="K27" s="66" t="str">
        <x:v>Product: CC BY-SA 3.0; Logo: CC BY 3.0</x:v>
      </x:c>
      <x:c r="L27" s="66" t="str">
        <x:v>Product: A GRIP label is visible; treat it as a possible mark and use only in the frozen local technical evaluation. Logo: Git trademark; local technical evaluation only. Attribution to Jason Long is required.</x:v>
      </x:c>
      <x:c r="M27" s="66" t="str"/>
      <x:c r="N27" s="66" t="str"/>
      <x:c r="O27" s="72" t="n">
        <x:v>1</x:v>
      </x:c>
      <x:c r="P27" s="66" t="str">
        <x:v>Yes</x:v>
      </x:c>
      <x:c r="Q27" s="69" t="str">
        <x:v>Not started</x:v>
      </x:c>
    </x:row>
    <x:row r="28">
      <x:c r="A28" s="25" t="str">
        <x:v>AR-P05-KR</x:v>
      </x:c>
      <x:c r="B28" s="63" t="str">
        <x:v>P05</x:v>
      </x:c>
      <x:c r="C28" s="63" t="str">
        <x:v>backpack</x:v>
      </x:c>
      <x:c r="D28" s="63" t="str">
        <x:v>social_post</x:v>
      </x:c>
      <x:c r="E28" s="63" t="str">
        <x:v>KR</x:v>
      </x:c>
      <x:c r="F28" s="63" t="str">
        <x:v>ko</x:v>
      </x:c>
      <x:c r="G28" s="63" t="str">
        <x:v>LTR</x:v>
      </x:c>
      <x:c r="H28" s="63" t="str">
        <x:v>present</x:v>
      </x:c>
      <x:c r="I28" s="66" t="str">
        <x:v>https://upload.wikimedia.org/wikipedia/commons/thumb/2/2c/School_bag_backpack.jpg/1280px-School_bag_backpack.jpg</x:v>
      </x:c>
      <x:c r="J28" s="66" t="str">
        <x:v>https://upload.wikimedia.org/wikipedia/commons/thumb/e/e0/Git-logo.svg/1280px-Git-logo.svg.png</x:v>
      </x:c>
      <x:c r="K28" s="66" t="str">
        <x:v>Product: CC BY-SA 3.0; Logo: CC BY 3.0</x:v>
      </x:c>
      <x:c r="L28" s="66" t="str">
        <x:v>Product: A GRIP label is visible; treat it as a possible mark and use only in the frozen local technical evaluation. Logo: Git trademark; local technical evaluation only. Attribution to Jason Long is required.</x:v>
      </x:c>
      <x:c r="M28" s="66" t="str"/>
      <x:c r="N28" s="66" t="str"/>
      <x:c r="O28" s="72" t="n">
        <x:v>1</x:v>
      </x:c>
      <x:c r="P28" s="66" t="str">
        <x:v>Yes</x:v>
      </x:c>
      <x:c r="Q28" s="69" t="str">
        <x:v>Not started</x:v>
      </x:c>
    </x:row>
    <x:row r="29">
      <x:c r="A29" s="25" t="str">
        <x:v>AR-P05-AE</x:v>
      </x:c>
      <x:c r="B29" s="63" t="str">
        <x:v>P05</x:v>
      </x:c>
      <x:c r="C29" s="63" t="str">
        <x:v>backpack</x:v>
      </x:c>
      <x:c r="D29" s="63" t="str">
        <x:v>social_post</x:v>
      </x:c>
      <x:c r="E29" s="63" t="str">
        <x:v>AE</x:v>
      </x:c>
      <x:c r="F29" s="63" t="str">
        <x:v>ar</x:v>
      </x:c>
      <x:c r="G29" s="63" t="str">
        <x:v>RTL</x:v>
      </x:c>
      <x:c r="H29" s="63" t="str">
        <x:v>present</x:v>
      </x:c>
      <x:c r="I29" s="66" t="str">
        <x:v>https://upload.wikimedia.org/wikipedia/commons/thumb/2/2c/School_bag_backpack.jpg/1280px-School_bag_backpack.jpg</x:v>
      </x:c>
      <x:c r="J29" s="66" t="str">
        <x:v>https://upload.wikimedia.org/wikipedia/commons/thumb/e/e0/Git-logo.svg/1280px-Git-logo.svg.png</x:v>
      </x:c>
      <x:c r="K29" s="66" t="str">
        <x:v>Product: CC BY-SA 3.0; Logo: CC BY 3.0</x:v>
      </x:c>
      <x:c r="L29" s="66" t="str">
        <x:v>Product: A GRIP label is visible; treat it as a possible mark and use only in the frozen local technical evaluation. Logo: Git trademark; local technical evaluation only. Attribution to Jason Long is required.</x:v>
      </x:c>
      <x:c r="M29" s="66" t="str"/>
      <x:c r="N29" s="66" t="str"/>
      <x:c r="O29" s="72" t="n">
        <x:v>1</x:v>
      </x:c>
      <x:c r="P29" s="66" t="str">
        <x:v>Yes</x:v>
      </x:c>
      <x:c r="Q29" s="69" t="str">
        <x:v>Not started</x:v>
      </x:c>
    </x:row>
    <x:row r="30">
      <x:c r="A30" s="25" t="str">
        <x:v>AR-P06-US</x:v>
      </x:c>
      <x:c r="B30" s="63" t="str">
        <x:v>P06</x:v>
      </x:c>
      <x:c r="C30" s="63" t="str">
        <x:v>wristwatch</x:v>
      </x:c>
      <x:c r="D30" s="63" t="str">
        <x:v>social_post</x:v>
      </x:c>
      <x:c r="E30" s="63" t="str">
        <x:v>US</x:v>
      </x:c>
      <x:c r="F30" s="63" t="str">
        <x:v>en</x:v>
      </x:c>
      <x:c r="G30" s="63" t="str">
        <x:v>LTR</x:v>
      </x:c>
      <x:c r="H30" s="63" t="str">
        <x:v>present</x:v>
      </x:c>
      <x:c r="I30" s="66" t="str">
        <x:v>https://upload.wikimedia.org/wikipedia/commons/6/69/Wristwatch.jpg</x:v>
      </x:c>
      <x:c r="J30" s="66" t="str">
        <x:v>https://upload.wikimedia.org/wikipedia/commons/thumb/0/0d/Inkscape_Logo.svg/1280px-Inkscape_Logo.svg.png</x:v>
      </x:c>
      <x:c r="K30" s="66" t="str">
        <x:v>Product: Public domain (released by author); Logo: CC BY-SA 3.0 AND/OR GPL-2.0-or-later</x:v>
      </x:c>
      <x:c r="L30" s="66" t="str">
        <x:v>Product: SEASIDE wording is visible; use only in the frozen local technical evaluation. Logo: Inkscape trademark; local technical evaluation only. Attribution/share-alike obligations apply when using the CC license.</x:v>
      </x:c>
      <x:c r="M30" s="66" t="str"/>
      <x:c r="N30" s="66" t="str"/>
      <x:c r="O30" s="72" t="n">
        <x:v>1</x:v>
      </x:c>
      <x:c r="P30" s="66" t="str">
        <x:v>Yes</x:v>
      </x:c>
      <x:c r="Q30" s="69" t="str">
        <x:v>Not started</x:v>
      </x:c>
    </x:row>
    <x:row r="31">
      <x:c r="A31" s="25" t="str">
        <x:v>AR-P06-DE</x:v>
      </x:c>
      <x:c r="B31" s="63" t="str">
        <x:v>P06</x:v>
      </x:c>
      <x:c r="C31" s="63" t="str">
        <x:v>wristwatch</x:v>
      </x:c>
      <x:c r="D31" s="63" t="str">
        <x:v>social_post</x:v>
      </x:c>
      <x:c r="E31" s="63" t="str">
        <x:v>DE</x:v>
      </x:c>
      <x:c r="F31" s="63" t="str">
        <x:v>de</x:v>
      </x:c>
      <x:c r="G31" s="63" t="str">
        <x:v>LTR</x:v>
      </x:c>
      <x:c r="H31" s="63" t="str">
        <x:v>present</x:v>
      </x:c>
      <x:c r="I31" s="66" t="str">
        <x:v>https://upload.wikimedia.org/wikipedia/commons/6/69/Wristwatch.jpg</x:v>
      </x:c>
      <x:c r="J31" s="66" t="str">
        <x:v>https://upload.wikimedia.org/wikipedia/commons/thumb/0/0d/Inkscape_Logo.svg/1280px-Inkscape_Logo.svg.png</x:v>
      </x:c>
      <x:c r="K31" s="66" t="str">
        <x:v>Product: Public domain (released by author); Logo: CC BY-SA 3.0 AND/OR GPL-2.0-or-later</x:v>
      </x:c>
      <x:c r="L31" s="66" t="str">
        <x:v>Product: SEASIDE wording is visible; use only in the frozen local technical evaluation. Logo: Inkscape trademark; local technical evaluation only. Attribution/share-alike obligations apply when using the CC license.</x:v>
      </x:c>
      <x:c r="M31" s="66" t="str"/>
      <x:c r="N31" s="66" t="str"/>
      <x:c r="O31" s="72" t="n">
        <x:v>1</x:v>
      </x:c>
      <x:c r="P31" s="66" t="str">
        <x:v>Yes</x:v>
      </x:c>
      <x:c r="Q31" s="69" t="str">
        <x:v>Not started</x:v>
      </x:c>
    </x:row>
    <x:row r="32">
      <x:c r="A32" s="25" t="str">
        <x:v>AR-P06-JP</x:v>
      </x:c>
      <x:c r="B32" s="63" t="str">
        <x:v>P06</x:v>
      </x:c>
      <x:c r="C32" s="63" t="str">
        <x:v>wristwatch</x:v>
      </x:c>
      <x:c r="D32" s="63" t="str">
        <x:v>social_post</x:v>
      </x:c>
      <x:c r="E32" s="63" t="str">
        <x:v>JP</x:v>
      </x:c>
      <x:c r="F32" s="63" t="str">
        <x:v>ja</x:v>
      </x:c>
      <x:c r="G32" s="63" t="str">
        <x:v>LTR</x:v>
      </x:c>
      <x:c r="H32" s="63" t="str">
        <x:v>present</x:v>
      </x:c>
      <x:c r="I32" s="66" t="str">
        <x:v>https://upload.wikimedia.org/wikipedia/commons/6/69/Wristwatch.jpg</x:v>
      </x:c>
      <x:c r="J32" s="66" t="str">
        <x:v>https://upload.wikimedia.org/wikipedia/commons/thumb/0/0d/Inkscape_Logo.svg/1280px-Inkscape_Logo.svg.png</x:v>
      </x:c>
      <x:c r="K32" s="66" t="str">
        <x:v>Product: Public domain (released by author); Logo: CC BY-SA 3.0 AND/OR GPL-2.0-or-later</x:v>
      </x:c>
      <x:c r="L32" s="66" t="str">
        <x:v>Product: SEASIDE wording is visible; use only in the frozen local technical evaluation. Logo: Inkscape trademark; local technical evaluation only. Attribution/share-alike obligations apply when using the CC license.</x:v>
      </x:c>
      <x:c r="M32" s="66" t="str"/>
      <x:c r="N32" s="66" t="str"/>
      <x:c r="O32" s="72" t="n">
        <x:v>1</x:v>
      </x:c>
      <x:c r="P32" s="66" t="str">
        <x:v>Yes</x:v>
      </x:c>
      <x:c r="Q32" s="69" t="str">
        <x:v>Not started</x:v>
      </x:c>
    </x:row>
    <x:row r="33">
      <x:c r="A33" s="25" t="str">
        <x:v>AR-P06-KR</x:v>
      </x:c>
      <x:c r="B33" s="63" t="str">
        <x:v>P06</x:v>
      </x:c>
      <x:c r="C33" s="63" t="str">
        <x:v>wristwatch</x:v>
      </x:c>
      <x:c r="D33" s="63" t="str">
        <x:v>social_post</x:v>
      </x:c>
      <x:c r="E33" s="63" t="str">
        <x:v>KR</x:v>
      </x:c>
      <x:c r="F33" s="63" t="str">
        <x:v>ko</x:v>
      </x:c>
      <x:c r="G33" s="63" t="str">
        <x:v>LTR</x:v>
      </x:c>
      <x:c r="H33" s="63" t="str">
        <x:v>present</x:v>
      </x:c>
      <x:c r="I33" s="66" t="str">
        <x:v>https://upload.wikimedia.org/wikipedia/commons/6/69/Wristwatch.jpg</x:v>
      </x:c>
      <x:c r="J33" s="66" t="str">
        <x:v>https://upload.wikimedia.org/wikipedia/commons/thumb/0/0d/Inkscape_Logo.svg/1280px-Inkscape_Logo.svg.png</x:v>
      </x:c>
      <x:c r="K33" s="66" t="str">
        <x:v>Product: Public domain (released by author); Logo: CC BY-SA 3.0 AND/OR GPL-2.0-or-later</x:v>
      </x:c>
      <x:c r="L33" s="66" t="str">
        <x:v>Product: SEASIDE wording is visible; use only in the frozen local technical evaluation. Logo: Inkscape trademark; local technical evaluation only. Attribution/share-alike obligations apply when using the CC license.</x:v>
      </x:c>
      <x:c r="M33" s="66" t="str"/>
      <x:c r="N33" s="66" t="str"/>
      <x:c r="O33" s="72" t="n">
        <x:v>1</x:v>
      </x:c>
      <x:c r="P33" s="66" t="str">
        <x:v>Yes</x:v>
      </x:c>
      <x:c r="Q33" s="69" t="str">
        <x:v>Not started</x:v>
      </x:c>
    </x:row>
    <x:row r="34">
      <x:c r="A34" s="25" t="str">
        <x:v>AR-P06-AE</x:v>
      </x:c>
      <x:c r="B34" s="63" t="str">
        <x:v>P06</x:v>
      </x:c>
      <x:c r="C34" s="63" t="str">
        <x:v>wristwatch</x:v>
      </x:c>
      <x:c r="D34" s="63" t="str">
        <x:v>social_post</x:v>
      </x:c>
      <x:c r="E34" s="63" t="str">
        <x:v>AE</x:v>
      </x:c>
      <x:c r="F34" s="63" t="str">
        <x:v>ar</x:v>
      </x:c>
      <x:c r="G34" s="63" t="str">
        <x:v>RTL</x:v>
      </x:c>
      <x:c r="H34" s="63" t="str">
        <x:v>present</x:v>
      </x:c>
      <x:c r="I34" s="66" t="str">
        <x:v>https://upload.wikimedia.org/wikipedia/commons/6/69/Wristwatch.jpg</x:v>
      </x:c>
      <x:c r="J34" s="66" t="str">
        <x:v>https://upload.wikimedia.org/wikipedia/commons/thumb/0/0d/Inkscape_Logo.svg/1280px-Inkscape_Logo.svg.png</x:v>
      </x:c>
      <x:c r="K34" s="66" t="str">
        <x:v>Product: Public domain (released by author); Logo: CC BY-SA 3.0 AND/OR GPL-2.0-or-later</x:v>
      </x:c>
      <x:c r="L34" s="66" t="str">
        <x:v>Product: SEASIDE wording is visible; use only in the frozen local technical evaluation. Logo: Inkscape trademark; local technical evaluation only. Attribution/share-alike obligations apply when using the CC license.</x:v>
      </x:c>
      <x:c r="M34" s="66" t="str"/>
      <x:c r="N34" s="66" t="str"/>
      <x:c r="O34" s="72" t="n">
        <x:v>1</x:v>
      </x:c>
      <x:c r="P34" s="66" t="str">
        <x:v>Yes</x:v>
      </x:c>
      <x:c r="Q34" s="69" t="str">
        <x:v>Not started</x:v>
      </x:c>
    </x:row>
    <x:row r="35">
      <x:c r="A35" s="25" t="str">
        <x:v>AR-P07-US</x:v>
      </x:c>
      <x:c r="B35" s="63" t="str">
        <x:v>P07</x:v>
      </x:c>
      <x:c r="C35" s="63" t="str">
        <x:v>coffee_maker</x:v>
      </x:c>
      <x:c r="D35" s="63" t="str">
        <x:v>social_post</x:v>
      </x:c>
      <x:c r="E35" s="63" t="str">
        <x:v>US</x:v>
      </x:c>
      <x:c r="F35" s="63" t="str">
        <x:v>en</x:v>
      </x:c>
      <x:c r="G35" s="63" t="str">
        <x:v>LTR</x:v>
      </x:c>
      <x:c r="H35" s="63" t="str">
        <x:v>present</x:v>
      </x:c>
      <x:c r="I35" s="66" t="str">
        <x:v>https://upload.wikimedia.org/wikipedia/commons/thumb/a/a2/Drip_coffee_maker.svg/1280px-Drip_coffee_maker.svg.png</x:v>
      </x:c>
      <x:c r="J35" s="66" t="str">
        <x:v>https://upload.wikimedia.org/wikipedia/commons/3/38/VLC_icon.png</x:v>
      </x:c>
      <x:c r="K35" s="66" t="str">
        <x:v>Product: CC0 1.0; Logo: GPL-2.0-or-later</x:v>
      </x:c>
      <x:c r="L35" s="66" t="str">
        <x:v>Product: No distinct trademark detected in the reviewed illustration. Logo: Treat the VLC identity as a protected mark; local technical evaluation only.</x:v>
      </x:c>
      <x:c r="M35" s="66" t="str"/>
      <x:c r="N35" s="66" t="str"/>
      <x:c r="O35" s="72" t="n">
        <x:v>1</x:v>
      </x:c>
      <x:c r="P35" s="66" t="str">
        <x:v>Yes</x:v>
      </x:c>
      <x:c r="Q35" s="69" t="str">
        <x:v>Not started</x:v>
      </x:c>
    </x:row>
    <x:row r="36">
      <x:c r="A36" s="25" t="str">
        <x:v>AR-P07-DE</x:v>
      </x:c>
      <x:c r="B36" s="63" t="str">
        <x:v>P07</x:v>
      </x:c>
      <x:c r="C36" s="63" t="str">
        <x:v>coffee_maker</x:v>
      </x:c>
      <x:c r="D36" s="63" t="str">
        <x:v>social_post</x:v>
      </x:c>
      <x:c r="E36" s="63" t="str">
        <x:v>DE</x:v>
      </x:c>
      <x:c r="F36" s="63" t="str">
        <x:v>de</x:v>
      </x:c>
      <x:c r="G36" s="63" t="str">
        <x:v>LTR</x:v>
      </x:c>
      <x:c r="H36" s="63" t="str">
        <x:v>present</x:v>
      </x:c>
      <x:c r="I36" s="66" t="str">
        <x:v>https://upload.wikimedia.org/wikipedia/commons/thumb/a/a2/Drip_coffee_maker.svg/1280px-Drip_coffee_maker.svg.png</x:v>
      </x:c>
      <x:c r="J36" s="66" t="str">
        <x:v>https://upload.wikimedia.org/wikipedia/commons/3/38/VLC_icon.png</x:v>
      </x:c>
      <x:c r="K36" s="66" t="str">
        <x:v>Product: CC0 1.0; Logo: GPL-2.0-or-later</x:v>
      </x:c>
      <x:c r="L36" s="66" t="str">
        <x:v>Product: No distinct trademark detected in the reviewed illustration. Logo: Treat the VLC identity as a protected mark; local technical evaluation only.</x:v>
      </x:c>
      <x:c r="M36" s="66" t="str"/>
      <x:c r="N36" s="66" t="str"/>
      <x:c r="O36" s="72" t="n">
        <x:v>1</x:v>
      </x:c>
      <x:c r="P36" s="66" t="str">
        <x:v>Yes</x:v>
      </x:c>
      <x:c r="Q36" s="69" t="str">
        <x:v>Not started</x:v>
      </x:c>
    </x:row>
    <x:row r="37">
      <x:c r="A37" s="25" t="str">
        <x:v>AR-P07-JP</x:v>
      </x:c>
      <x:c r="B37" s="63" t="str">
        <x:v>P07</x:v>
      </x:c>
      <x:c r="C37" s="63" t="str">
        <x:v>coffee_maker</x:v>
      </x:c>
      <x:c r="D37" s="63" t="str">
        <x:v>social_post</x:v>
      </x:c>
      <x:c r="E37" s="63" t="str">
        <x:v>JP</x:v>
      </x:c>
      <x:c r="F37" s="63" t="str">
        <x:v>ja</x:v>
      </x:c>
      <x:c r="G37" s="63" t="str">
        <x:v>LTR</x:v>
      </x:c>
      <x:c r="H37" s="63" t="str">
        <x:v>present</x:v>
      </x:c>
      <x:c r="I37" s="66" t="str">
        <x:v>https://upload.wikimedia.org/wikipedia/commons/thumb/a/a2/Drip_coffee_maker.svg/1280px-Drip_coffee_maker.svg.png</x:v>
      </x:c>
      <x:c r="J37" s="66" t="str">
        <x:v>https://upload.wikimedia.org/wikipedia/commons/3/38/VLC_icon.png</x:v>
      </x:c>
      <x:c r="K37" s="66" t="str">
        <x:v>Product: CC0 1.0; Logo: GPL-2.0-or-later</x:v>
      </x:c>
      <x:c r="L37" s="66" t="str">
        <x:v>Product: No distinct trademark detected in the reviewed illustration. Logo: Treat the VLC identity as a protected mark; local technical evaluation only.</x:v>
      </x:c>
      <x:c r="M37" s="66" t="str"/>
      <x:c r="N37" s="66" t="str"/>
      <x:c r="O37" s="72" t="n">
        <x:v>1</x:v>
      </x:c>
      <x:c r="P37" s="66" t="str">
        <x:v>Yes</x:v>
      </x:c>
      <x:c r="Q37" s="69" t="str">
        <x:v>Not started</x:v>
      </x:c>
    </x:row>
    <x:row r="38">
      <x:c r="A38" s="25" t="str">
        <x:v>AR-P07-KR</x:v>
      </x:c>
      <x:c r="B38" s="63" t="str">
        <x:v>P07</x:v>
      </x:c>
      <x:c r="C38" s="63" t="str">
        <x:v>coffee_maker</x:v>
      </x:c>
      <x:c r="D38" s="63" t="str">
        <x:v>social_post</x:v>
      </x:c>
      <x:c r="E38" s="63" t="str">
        <x:v>KR</x:v>
      </x:c>
      <x:c r="F38" s="63" t="str">
        <x:v>ko</x:v>
      </x:c>
      <x:c r="G38" s="63" t="str">
        <x:v>LTR</x:v>
      </x:c>
      <x:c r="H38" s="63" t="str">
        <x:v>present</x:v>
      </x:c>
      <x:c r="I38" s="66" t="str">
        <x:v>https://upload.wikimedia.org/wikipedia/commons/thumb/a/a2/Drip_coffee_maker.svg/1280px-Drip_coffee_maker.svg.png</x:v>
      </x:c>
      <x:c r="J38" s="66" t="str">
        <x:v>https://upload.wikimedia.org/wikipedia/commons/3/38/VLC_icon.png</x:v>
      </x:c>
      <x:c r="K38" s="66" t="str">
        <x:v>Product: CC0 1.0; Logo: GPL-2.0-or-later</x:v>
      </x:c>
      <x:c r="L38" s="66" t="str">
        <x:v>Product: No distinct trademark detected in the reviewed illustration. Logo: Treat the VLC identity as a protected mark; local technical evaluation only.</x:v>
      </x:c>
      <x:c r="M38" s="66" t="str"/>
      <x:c r="N38" s="66" t="str"/>
      <x:c r="O38" s="72" t="n">
        <x:v>1</x:v>
      </x:c>
      <x:c r="P38" s="66" t="str">
        <x:v>Yes</x:v>
      </x:c>
      <x:c r="Q38" s="69" t="str">
        <x:v>Not started</x:v>
      </x:c>
    </x:row>
    <x:row r="39">
      <x:c r="A39" s="25" t="str">
        <x:v>AR-P07-AE</x:v>
      </x:c>
      <x:c r="B39" s="63" t="str">
        <x:v>P07</x:v>
      </x:c>
      <x:c r="C39" s="63" t="str">
        <x:v>coffee_maker</x:v>
      </x:c>
      <x:c r="D39" s="63" t="str">
        <x:v>social_post</x:v>
      </x:c>
      <x:c r="E39" s="63" t="str">
        <x:v>AE</x:v>
      </x:c>
      <x:c r="F39" s="63" t="str">
        <x:v>ar</x:v>
      </x:c>
      <x:c r="G39" s="63" t="str">
        <x:v>RTL</x:v>
      </x:c>
      <x:c r="H39" s="63" t="str">
        <x:v>present</x:v>
      </x:c>
      <x:c r="I39" s="66" t="str">
        <x:v>https://upload.wikimedia.org/wikipedia/commons/thumb/a/a2/Drip_coffee_maker.svg/1280px-Drip_coffee_maker.svg.png</x:v>
      </x:c>
      <x:c r="J39" s="66" t="str">
        <x:v>https://upload.wikimedia.org/wikipedia/commons/3/38/VLC_icon.png</x:v>
      </x:c>
      <x:c r="K39" s="66" t="str">
        <x:v>Product: CC0 1.0; Logo: GPL-2.0-or-later</x:v>
      </x:c>
      <x:c r="L39" s="66" t="str">
        <x:v>Product: No distinct trademark detected in the reviewed illustration. Logo: Treat the VLC identity as a protected mark; local technical evaluation only.</x:v>
      </x:c>
      <x:c r="M39" s="66" t="str"/>
      <x:c r="N39" s="66" t="str"/>
      <x:c r="O39" s="72" t="n">
        <x:v>1</x:v>
      </x:c>
      <x:c r="P39" s="66" t="str">
        <x:v>Yes</x:v>
      </x:c>
      <x:c r="Q39" s="69" t="str">
        <x:v>Not started</x:v>
      </x:c>
    </x:row>
    <x:row r="40">
      <x:c r="A40" s="25" t="str">
        <x:v>AR-P08-US</x:v>
      </x:c>
      <x:c r="B40" s="63" t="str">
        <x:v>P08</x:v>
      </x:c>
      <x:c r="C40" s="63" t="str">
        <x:v>snack_package</x:v>
      </x:c>
      <x:c r="D40" s="63" t="str">
        <x:v>social_post</x:v>
      </x:c>
      <x:c r="E40" s="63" t="str">
        <x:v>US</x:v>
      </x:c>
      <x:c r="F40" s="63" t="str">
        <x:v>en</x:v>
      </x:c>
      <x:c r="G40" s="63" t="str">
        <x:v>LTR</x:v>
      </x:c>
      <x:c r="H40" s="63" t="str">
        <x:v>present</x:v>
      </x:c>
      <x:c r="I40" s="66" t="str">
        <x:v>https://upload.wikimedia.org/wikipedia/commons/thumb/f/f5/Popcorn.svg/1280px-Popcorn.svg.png</x:v>
      </x:c>
      <x:c r="J40" s="66" t="str">
        <x:v>https://upload.wikimedia.org/wikipedia/commons/thumb/a/a0/Firefox_logo%2C_2019.svg/1280px-Firefox_logo%2C_2019.svg.png</x:v>
      </x:c>
      <x:c r="K40" s="66" t="str">
        <x:v>Product: CC0 1.0; Logo: MPL 2.0</x:v>
      </x:c>
      <x:c r="L40" s="66" t="str">
        <x:v>Product: Generic descriptive wording only; no distinct known trademark detected in the reviewed illustration. Logo: Firefox trademark; local technical evaluation only. Mozilla trademark rules apply independently of MPL 2.0.</x:v>
      </x:c>
      <x:c r="M40" s="66" t="str"/>
      <x:c r="N40" s="66" t="str"/>
      <x:c r="O40" s="72" t="n">
        <x:v>1</x:v>
      </x:c>
      <x:c r="P40" s="66" t="str">
        <x:v>Yes</x:v>
      </x:c>
      <x:c r="Q40" s="69" t="str">
        <x:v>Not started</x:v>
      </x:c>
    </x:row>
    <x:row r="41">
      <x:c r="A41" s="25" t="str">
        <x:v>AR-P08-DE</x:v>
      </x:c>
      <x:c r="B41" s="63" t="str">
        <x:v>P08</x:v>
      </x:c>
      <x:c r="C41" s="63" t="str">
        <x:v>snack_package</x:v>
      </x:c>
      <x:c r="D41" s="63" t="str">
        <x:v>social_post</x:v>
      </x:c>
      <x:c r="E41" s="63" t="str">
        <x:v>DE</x:v>
      </x:c>
      <x:c r="F41" s="63" t="str">
        <x:v>de</x:v>
      </x:c>
      <x:c r="G41" s="63" t="str">
        <x:v>LTR</x:v>
      </x:c>
      <x:c r="H41" s="63" t="str">
        <x:v>present</x:v>
      </x:c>
      <x:c r="I41" s="66" t="str">
        <x:v>https://upload.wikimedia.org/wikipedia/commons/thumb/f/f5/Popcorn.svg/1280px-Popcorn.svg.png</x:v>
      </x:c>
      <x:c r="J41" s="66" t="str">
        <x:v>https://upload.wikimedia.org/wikipedia/commons/thumb/a/a0/Firefox_logo%2C_2019.svg/1280px-Firefox_logo%2C_2019.svg.png</x:v>
      </x:c>
      <x:c r="K41" s="66" t="str">
        <x:v>Product: CC0 1.0; Logo: MPL 2.0</x:v>
      </x:c>
      <x:c r="L41" s="66" t="str">
        <x:v>Product: Generic descriptive wording only; no distinct known trademark detected in the reviewed illustration. Logo: Firefox trademark; local technical evaluation only. Mozilla trademark rules apply independently of MPL 2.0.</x:v>
      </x:c>
      <x:c r="M41" s="66" t="str"/>
      <x:c r="N41" s="66" t="str"/>
      <x:c r="O41" s="72" t="n">
        <x:v>1</x:v>
      </x:c>
      <x:c r="P41" s="66" t="str">
        <x:v>Yes</x:v>
      </x:c>
      <x:c r="Q41" s="69" t="str">
        <x:v>Not started</x:v>
      </x:c>
    </x:row>
    <x:row r="42">
      <x:c r="A42" s="25" t="str">
        <x:v>AR-P08-JP</x:v>
      </x:c>
      <x:c r="B42" s="63" t="str">
        <x:v>P08</x:v>
      </x:c>
      <x:c r="C42" s="63" t="str">
        <x:v>snack_package</x:v>
      </x:c>
      <x:c r="D42" s="63" t="str">
        <x:v>social_post</x:v>
      </x:c>
      <x:c r="E42" s="63" t="str">
        <x:v>JP</x:v>
      </x:c>
      <x:c r="F42" s="63" t="str">
        <x:v>ja</x:v>
      </x:c>
      <x:c r="G42" s="63" t="str">
        <x:v>LTR</x:v>
      </x:c>
      <x:c r="H42" s="63" t="str">
        <x:v>present</x:v>
      </x:c>
      <x:c r="I42" s="66" t="str">
        <x:v>https://upload.wikimedia.org/wikipedia/commons/thumb/f/f5/Popcorn.svg/1280px-Popcorn.svg.png</x:v>
      </x:c>
      <x:c r="J42" s="66" t="str">
        <x:v>https://upload.wikimedia.org/wikipedia/commons/thumb/a/a0/Firefox_logo%2C_2019.svg/1280px-Firefox_logo%2C_2019.svg.png</x:v>
      </x:c>
      <x:c r="K42" s="66" t="str">
        <x:v>Product: CC0 1.0; Logo: MPL 2.0</x:v>
      </x:c>
      <x:c r="L42" s="66" t="str">
        <x:v>Product: Generic descriptive wording only; no distinct known trademark detected in the reviewed illustration. Logo: Firefox trademark; local technical evaluation only. Mozilla trademark rules apply independently of MPL 2.0.</x:v>
      </x:c>
      <x:c r="M42" s="66" t="str"/>
      <x:c r="N42" s="66" t="str"/>
      <x:c r="O42" s="72" t="n">
        <x:v>1</x:v>
      </x:c>
      <x:c r="P42" s="66" t="str">
        <x:v>Yes</x:v>
      </x:c>
      <x:c r="Q42" s="69" t="str">
        <x:v>Not started</x:v>
      </x:c>
    </x:row>
    <x:row r="43">
      <x:c r="A43" s="25" t="str">
        <x:v>AR-P08-KR</x:v>
      </x:c>
      <x:c r="B43" s="63" t="str">
        <x:v>P08</x:v>
      </x:c>
      <x:c r="C43" s="63" t="str">
        <x:v>snack_package</x:v>
      </x:c>
      <x:c r="D43" s="63" t="str">
        <x:v>social_post</x:v>
      </x:c>
      <x:c r="E43" s="63" t="str">
        <x:v>KR</x:v>
      </x:c>
      <x:c r="F43" s="63" t="str">
        <x:v>ko</x:v>
      </x:c>
      <x:c r="G43" s="63" t="str">
        <x:v>LTR</x:v>
      </x:c>
      <x:c r="H43" s="63" t="str">
        <x:v>present</x:v>
      </x:c>
      <x:c r="I43" s="66" t="str">
        <x:v>https://upload.wikimedia.org/wikipedia/commons/thumb/f/f5/Popcorn.svg/1280px-Popcorn.svg.png</x:v>
      </x:c>
      <x:c r="J43" s="66" t="str">
        <x:v>https://upload.wikimedia.org/wikipedia/commons/thumb/a/a0/Firefox_logo%2C_2019.svg/1280px-Firefox_logo%2C_2019.svg.png</x:v>
      </x:c>
      <x:c r="K43" s="66" t="str">
        <x:v>Product: CC0 1.0; Logo: MPL 2.0</x:v>
      </x:c>
      <x:c r="L43" s="66" t="str">
        <x:v>Product: Generic descriptive wording only; no distinct known trademark detected in the reviewed illustration. Logo: Firefox trademark; local technical evaluation only. Mozilla trademark rules apply independently of MPL 2.0.</x:v>
      </x:c>
      <x:c r="M43" s="66" t="str"/>
      <x:c r="N43" s="66" t="str"/>
      <x:c r="O43" s="72" t="n">
        <x:v>1</x:v>
      </x:c>
      <x:c r="P43" s="66" t="str">
        <x:v>Yes</x:v>
      </x:c>
      <x:c r="Q43" s="69" t="str">
        <x:v>Not started</x:v>
      </x:c>
    </x:row>
    <x:row r="44">
      <x:c r="A44" s="25" t="str">
        <x:v>AR-P08-AE</x:v>
      </x:c>
      <x:c r="B44" s="63" t="str">
        <x:v>P08</x:v>
      </x:c>
      <x:c r="C44" s="63" t="str">
        <x:v>snack_package</x:v>
      </x:c>
      <x:c r="D44" s="63" t="str">
        <x:v>social_post</x:v>
      </x:c>
      <x:c r="E44" s="63" t="str">
        <x:v>AE</x:v>
      </x:c>
      <x:c r="F44" s="63" t="str">
        <x:v>ar</x:v>
      </x:c>
      <x:c r="G44" s="63" t="str">
        <x:v>RTL</x:v>
      </x:c>
      <x:c r="H44" s="63" t="str">
        <x:v>present</x:v>
      </x:c>
      <x:c r="I44" s="66" t="str">
        <x:v>https://upload.wikimedia.org/wikipedia/commons/thumb/f/f5/Popcorn.svg/1280px-Popcorn.svg.png</x:v>
      </x:c>
      <x:c r="J44" s="66" t="str">
        <x:v>https://upload.wikimedia.org/wikipedia/commons/thumb/a/a0/Firefox_logo%2C_2019.svg/1280px-Firefox_logo%2C_2019.svg.png</x:v>
      </x:c>
      <x:c r="K44" s="66" t="str">
        <x:v>Product: CC0 1.0; Logo: MPL 2.0</x:v>
      </x:c>
      <x:c r="L44" s="66" t="str">
        <x:v>Product: Generic descriptive wording only; no distinct known trademark detected in the reviewed illustration. Logo: Firefox trademark; local technical evaluation only. Mozilla trademark rules apply independently of MPL 2.0.</x:v>
      </x:c>
      <x:c r="M44" s="66" t="str"/>
      <x:c r="N44" s="66" t="str"/>
      <x:c r="O44" s="72" t="n">
        <x:v>1</x:v>
      </x:c>
      <x:c r="P44" s="66" t="str">
        <x:v>Yes</x:v>
      </x:c>
      <x:c r="Q44" s="69" t="str">
        <x:v>Not started</x:v>
      </x:c>
    </x:row>
    <x:row r="45">
      <x:c r="A45" s="25" t="str">
        <x:v>AR-P09-US</x:v>
      </x:c>
      <x:c r="B45" s="63" t="str">
        <x:v>P09</x:v>
      </x:c>
      <x:c r="C45" s="63" t="str">
        <x:v>camera</x:v>
      </x:c>
      <x:c r="D45" s="63" t="str">
        <x:v>ad_banner</x:v>
      </x:c>
      <x:c r="E45" s="63" t="str">
        <x:v>US</x:v>
      </x:c>
      <x:c r="F45" s="63" t="str">
        <x:v>en</x:v>
      </x:c>
      <x:c r="G45" s="63" t="str">
        <x:v>LTR</x:v>
      </x:c>
      <x:c r="H45" s="63" t="str">
        <x:v>absent</x:v>
      </x:c>
      <x:c r="I45" s="66" t="str">
        <x:v>https://upload.wikimedia.org/wikipedia/commons/thumb/b/b8/Kodak_Instamatic_X-15_camera.jpg/1280px-Kodak_Instamatic_X-15_camera.jpg</x:v>
      </x:c>
      <x:c r="J45" s="66" t="str"/>
      <x:c r="K45" s="66" t="str">
        <x:v>Product: CC0 1.0</x:v>
      </x:c>
      <x:c r="L45" s="66" t="str">
        <x:v>Kodak and Instamatic markings are visible; use only in the frozen local technical evaluation.</x:v>
      </x:c>
      <x:c r="M45" s="66" t="str"/>
      <x:c r="N45" s="66" t="str"/>
      <x:c r="O45" s="72" t="n">
        <x:v>1</x:v>
      </x:c>
      <x:c r="P45" s="66" t="str">
        <x:v>Yes</x:v>
      </x:c>
      <x:c r="Q45" s="69" t="str">
        <x:v>Not started</x:v>
      </x:c>
    </x:row>
    <x:row r="46">
      <x:c r="A46" s="25" t="str">
        <x:v>AR-P09-DE</x:v>
      </x:c>
      <x:c r="B46" s="63" t="str">
        <x:v>P09</x:v>
      </x:c>
      <x:c r="C46" s="63" t="str">
        <x:v>camera</x:v>
      </x:c>
      <x:c r="D46" s="63" t="str">
        <x:v>ad_banner</x:v>
      </x:c>
      <x:c r="E46" s="63" t="str">
        <x:v>DE</x:v>
      </x:c>
      <x:c r="F46" s="63" t="str">
        <x:v>de</x:v>
      </x:c>
      <x:c r="G46" s="63" t="str">
        <x:v>LTR</x:v>
      </x:c>
      <x:c r="H46" s="63" t="str">
        <x:v>absent</x:v>
      </x:c>
      <x:c r="I46" s="66" t="str">
        <x:v>https://upload.wikimedia.org/wikipedia/commons/thumb/b/b8/Kodak_Instamatic_X-15_camera.jpg/1280px-Kodak_Instamatic_X-15_camera.jpg</x:v>
      </x:c>
      <x:c r="J46" s="66" t="str"/>
      <x:c r="K46" s="66" t="str">
        <x:v>Product: CC0 1.0</x:v>
      </x:c>
      <x:c r="L46" s="66" t="str">
        <x:v>Kodak and Instamatic markings are visible; use only in the frozen local technical evaluation.</x:v>
      </x:c>
      <x:c r="M46" s="66" t="str"/>
      <x:c r="N46" s="66" t="str"/>
      <x:c r="O46" s="72" t="n">
        <x:v>1</x:v>
      </x:c>
      <x:c r="P46" s="66" t="str">
        <x:v>Yes</x:v>
      </x:c>
      <x:c r="Q46" s="69" t="str">
        <x:v>Not started</x:v>
      </x:c>
    </x:row>
    <x:row r="47">
      <x:c r="A47" s="25" t="str">
        <x:v>AR-P09-JP</x:v>
      </x:c>
      <x:c r="B47" s="63" t="str">
        <x:v>P09</x:v>
      </x:c>
      <x:c r="C47" s="63" t="str">
        <x:v>camera</x:v>
      </x:c>
      <x:c r="D47" s="63" t="str">
        <x:v>ad_banner</x:v>
      </x:c>
      <x:c r="E47" s="63" t="str">
        <x:v>JP</x:v>
      </x:c>
      <x:c r="F47" s="63" t="str">
        <x:v>ja</x:v>
      </x:c>
      <x:c r="G47" s="63" t="str">
        <x:v>LTR</x:v>
      </x:c>
      <x:c r="H47" s="63" t="str">
        <x:v>absent</x:v>
      </x:c>
      <x:c r="I47" s="66" t="str">
        <x:v>https://upload.wikimedia.org/wikipedia/commons/thumb/b/b8/Kodak_Instamatic_X-15_camera.jpg/1280px-Kodak_Instamatic_X-15_camera.jpg</x:v>
      </x:c>
      <x:c r="J47" s="66" t="str"/>
      <x:c r="K47" s="66" t="str">
        <x:v>Product: CC0 1.0</x:v>
      </x:c>
      <x:c r="L47" s="66" t="str">
        <x:v>Kodak and Instamatic markings are visible; use only in the frozen local technical evaluation.</x:v>
      </x:c>
      <x:c r="M47" s="66" t="str"/>
      <x:c r="N47" s="66" t="str"/>
      <x:c r="O47" s="72" t="n">
        <x:v>1</x:v>
      </x:c>
      <x:c r="P47" s="66" t="str">
        <x:v>Yes</x:v>
      </x:c>
      <x:c r="Q47" s="69" t="str">
        <x:v>Not started</x:v>
      </x:c>
    </x:row>
    <x:row r="48">
      <x:c r="A48" s="25" t="str">
        <x:v>AR-P09-KR</x:v>
      </x:c>
      <x:c r="B48" s="63" t="str">
        <x:v>P09</x:v>
      </x:c>
      <x:c r="C48" s="63" t="str">
        <x:v>camera</x:v>
      </x:c>
      <x:c r="D48" s="63" t="str">
        <x:v>ad_banner</x:v>
      </x:c>
      <x:c r="E48" s="63" t="str">
        <x:v>KR</x:v>
      </x:c>
      <x:c r="F48" s="63" t="str">
        <x:v>ko</x:v>
      </x:c>
      <x:c r="G48" s="63" t="str">
        <x:v>LTR</x:v>
      </x:c>
      <x:c r="H48" s="63" t="str">
        <x:v>absent</x:v>
      </x:c>
      <x:c r="I48" s="66" t="str">
        <x:v>https://upload.wikimedia.org/wikipedia/commons/thumb/b/b8/Kodak_Instamatic_X-15_camera.jpg/1280px-Kodak_Instamatic_X-15_camera.jpg</x:v>
      </x:c>
      <x:c r="J48" s="66" t="str"/>
      <x:c r="K48" s="66" t="str">
        <x:v>Product: CC0 1.0</x:v>
      </x:c>
      <x:c r="L48" s="66" t="str">
        <x:v>Kodak and Instamatic markings are visible; use only in the frozen local technical evaluation.</x:v>
      </x:c>
      <x:c r="M48" s="66" t="str"/>
      <x:c r="N48" s="66" t="str"/>
      <x:c r="O48" s="72" t="n">
        <x:v>1</x:v>
      </x:c>
      <x:c r="P48" s="66" t="str">
        <x:v>Yes</x:v>
      </x:c>
      <x:c r="Q48" s="69" t="str">
        <x:v>Not started</x:v>
      </x:c>
    </x:row>
    <x:row r="49">
      <x:c r="A49" s="25" t="str">
        <x:v>AR-P09-AE</x:v>
      </x:c>
      <x:c r="B49" s="63" t="str">
        <x:v>P09</x:v>
      </x:c>
      <x:c r="C49" s="63" t="str">
        <x:v>camera</x:v>
      </x:c>
      <x:c r="D49" s="63" t="str">
        <x:v>ad_banner</x:v>
      </x:c>
      <x:c r="E49" s="63" t="str">
        <x:v>AE</x:v>
      </x:c>
      <x:c r="F49" s="63" t="str">
        <x:v>ar</x:v>
      </x:c>
      <x:c r="G49" s="63" t="str">
        <x:v>RTL</x:v>
      </x:c>
      <x:c r="H49" s="63" t="str">
        <x:v>absent</x:v>
      </x:c>
      <x:c r="I49" s="66" t="str">
        <x:v>https://upload.wikimedia.org/wikipedia/commons/thumb/b/b8/Kodak_Instamatic_X-15_camera.jpg/1280px-Kodak_Instamatic_X-15_camera.jpg</x:v>
      </x:c>
      <x:c r="J49" s="66" t="str"/>
      <x:c r="K49" s="66" t="str">
        <x:v>Product: CC0 1.0</x:v>
      </x:c>
      <x:c r="L49" s="66" t="str">
        <x:v>Kodak and Instamatic markings are visible; use only in the frozen local technical evaluation.</x:v>
      </x:c>
      <x:c r="M49" s="66" t="str"/>
      <x:c r="N49" s="66" t="str"/>
      <x:c r="O49" s="72" t="n">
        <x:v>1</x:v>
      </x:c>
      <x:c r="P49" s="66" t="str">
        <x:v>Yes</x:v>
      </x:c>
      <x:c r="Q49" s="69" t="str">
        <x:v>Not started</x:v>
      </x:c>
    </x:row>
    <x:row r="50">
      <x:c r="A50" s="25" t="str">
        <x:v>AR-P10-US</x:v>
      </x:c>
      <x:c r="B50" s="63" t="str">
        <x:v>P10</x:v>
      </x:c>
      <x:c r="C50" s="63" t="str">
        <x:v>desk_lamp</x:v>
      </x:c>
      <x:c r="D50" s="63" t="str">
        <x:v>ad_banner</x:v>
      </x:c>
      <x:c r="E50" s="63" t="str">
        <x:v>US</x:v>
      </x:c>
      <x:c r="F50" s="63" t="str">
        <x:v>en</x:v>
      </x:c>
      <x:c r="G50" s="63" t="str">
        <x:v>LTR</x:v>
      </x:c>
      <x:c r="H50" s="63" t="str">
        <x:v>absent</x:v>
      </x:c>
      <x:c r="I50" s="66" t="str">
        <x:v>https://upload.wikimedia.org/wikipedia/commons/thumb/4/41/Black_desk_lamp.jpg/1280px-Black_desk_lamp.jpg</x:v>
      </x:c>
      <x:c r="J50" s="66" t="str"/>
      <x:c r="K50" s="66" t="str">
        <x:v>Product: CC0 1.0</x:v>
      </x:c>
      <x:c r="L50" s="66" t="str">
        <x:v>No distinct trademark detected in the reviewed image.</x:v>
      </x:c>
      <x:c r="M50" s="66" t="str"/>
      <x:c r="N50" s="66" t="str"/>
      <x:c r="O50" s="72" t="n">
        <x:v>1</x:v>
      </x:c>
      <x:c r="P50" s="66" t="str">
        <x:v>Yes</x:v>
      </x:c>
      <x:c r="Q50" s="69" t="str">
        <x:v>Not started</x:v>
      </x:c>
    </x:row>
    <x:row r="51">
      <x:c r="A51" s="25" t="str">
        <x:v>AR-P10-DE</x:v>
      </x:c>
      <x:c r="B51" s="63" t="str">
        <x:v>P10</x:v>
      </x:c>
      <x:c r="C51" s="63" t="str">
        <x:v>desk_lamp</x:v>
      </x:c>
      <x:c r="D51" s="63" t="str">
        <x:v>ad_banner</x:v>
      </x:c>
      <x:c r="E51" s="63" t="str">
        <x:v>DE</x:v>
      </x:c>
      <x:c r="F51" s="63" t="str">
        <x:v>de</x:v>
      </x:c>
      <x:c r="G51" s="63" t="str">
        <x:v>LTR</x:v>
      </x:c>
      <x:c r="H51" s="63" t="str">
        <x:v>absent</x:v>
      </x:c>
      <x:c r="I51" s="66" t="str">
        <x:v>https://upload.wikimedia.org/wikipedia/commons/thumb/4/41/Black_desk_lamp.jpg/1280px-Black_desk_lamp.jpg</x:v>
      </x:c>
      <x:c r="J51" s="66" t="str"/>
      <x:c r="K51" s="66" t="str">
        <x:v>Product: CC0 1.0</x:v>
      </x:c>
      <x:c r="L51" s="66" t="str">
        <x:v>No distinct trademark detected in the reviewed image.</x:v>
      </x:c>
      <x:c r="M51" s="66" t="str"/>
      <x:c r="N51" s="66" t="str"/>
      <x:c r="O51" s="72" t="n">
        <x:v>1</x:v>
      </x:c>
      <x:c r="P51" s="66" t="str">
        <x:v>Yes</x:v>
      </x:c>
      <x:c r="Q51" s="69" t="str">
        <x:v>Not started</x:v>
      </x:c>
    </x:row>
    <x:row r="52">
      <x:c r="A52" s="25" t="str">
        <x:v>AR-P10-JP</x:v>
      </x:c>
      <x:c r="B52" s="63" t="str">
        <x:v>P10</x:v>
      </x:c>
      <x:c r="C52" s="63" t="str">
        <x:v>desk_lamp</x:v>
      </x:c>
      <x:c r="D52" s="63" t="str">
        <x:v>ad_banner</x:v>
      </x:c>
      <x:c r="E52" s="63" t="str">
        <x:v>JP</x:v>
      </x:c>
      <x:c r="F52" s="63" t="str">
        <x:v>ja</x:v>
      </x:c>
      <x:c r="G52" s="63" t="str">
        <x:v>LTR</x:v>
      </x:c>
      <x:c r="H52" s="63" t="str">
        <x:v>absent</x:v>
      </x:c>
      <x:c r="I52" s="66" t="str">
        <x:v>https://upload.wikimedia.org/wikipedia/commons/thumb/4/41/Black_desk_lamp.jpg/1280px-Black_desk_lamp.jpg</x:v>
      </x:c>
      <x:c r="J52" s="66" t="str"/>
      <x:c r="K52" s="66" t="str">
        <x:v>Product: CC0 1.0</x:v>
      </x:c>
      <x:c r="L52" s="66" t="str">
        <x:v>No distinct trademark detected in the reviewed image.</x:v>
      </x:c>
      <x:c r="M52" s="66" t="str"/>
      <x:c r="N52" s="66" t="str"/>
      <x:c r="O52" s="72" t="n">
        <x:v>1</x:v>
      </x:c>
      <x:c r="P52" s="66" t="str">
        <x:v>Yes</x:v>
      </x:c>
      <x:c r="Q52" s="69" t="str">
        <x:v>Not started</x:v>
      </x:c>
    </x:row>
    <x:row r="53">
      <x:c r="A53" s="25" t="str">
        <x:v>AR-P10-KR</x:v>
      </x:c>
      <x:c r="B53" s="63" t="str">
        <x:v>P10</x:v>
      </x:c>
      <x:c r="C53" s="63" t="str">
        <x:v>desk_lamp</x:v>
      </x:c>
      <x:c r="D53" s="63" t="str">
        <x:v>ad_banner</x:v>
      </x:c>
      <x:c r="E53" s="63" t="str">
        <x:v>KR</x:v>
      </x:c>
      <x:c r="F53" s="63" t="str">
        <x:v>ko</x:v>
      </x:c>
      <x:c r="G53" s="63" t="str">
        <x:v>LTR</x:v>
      </x:c>
      <x:c r="H53" s="63" t="str">
        <x:v>absent</x:v>
      </x:c>
      <x:c r="I53" s="66" t="str">
        <x:v>https://upload.wikimedia.org/wikipedia/commons/thumb/4/41/Black_desk_lamp.jpg/1280px-Black_desk_lamp.jpg</x:v>
      </x:c>
      <x:c r="J53" s="66" t="str"/>
      <x:c r="K53" s="66" t="str">
        <x:v>Product: CC0 1.0</x:v>
      </x:c>
      <x:c r="L53" s="66" t="str">
        <x:v>No distinct trademark detected in the reviewed image.</x:v>
      </x:c>
      <x:c r="M53" s="66" t="str"/>
      <x:c r="N53" s="66" t="str"/>
      <x:c r="O53" s="72" t="n">
        <x:v>1</x:v>
      </x:c>
      <x:c r="P53" s="66" t="str">
        <x:v>Yes</x:v>
      </x:c>
      <x:c r="Q53" s="69" t="str">
        <x:v>Not started</x:v>
      </x:c>
    </x:row>
    <x:row r="54">
      <x:c r="A54" s="25" t="str">
        <x:v>AR-P10-AE</x:v>
      </x:c>
      <x:c r="B54" s="63" t="str">
        <x:v>P10</x:v>
      </x:c>
      <x:c r="C54" s="63" t="str">
        <x:v>desk_lamp</x:v>
      </x:c>
      <x:c r="D54" s="63" t="str">
        <x:v>ad_banner</x:v>
      </x:c>
      <x:c r="E54" s="63" t="str">
        <x:v>AE</x:v>
      </x:c>
      <x:c r="F54" s="63" t="str">
        <x:v>ar</x:v>
      </x:c>
      <x:c r="G54" s="63" t="str">
        <x:v>RTL</x:v>
      </x:c>
      <x:c r="H54" s="63" t="str">
        <x:v>absent</x:v>
      </x:c>
      <x:c r="I54" s="66" t="str">
        <x:v>https://upload.wikimedia.org/wikipedia/commons/thumb/4/41/Black_desk_lamp.jpg/1280px-Black_desk_lamp.jpg</x:v>
      </x:c>
      <x:c r="J54" s="66" t="str"/>
      <x:c r="K54" s="66" t="str">
        <x:v>Product: CC0 1.0</x:v>
      </x:c>
      <x:c r="L54" s="66" t="str">
        <x:v>No distinct trademark detected in the reviewed image.</x:v>
      </x:c>
      <x:c r="M54" s="66" t="str"/>
      <x:c r="N54" s="66" t="str"/>
      <x:c r="O54" s="72" t="n">
        <x:v>1</x:v>
      </x:c>
      <x:c r="P54" s="66" t="str">
        <x:v>Yes</x:v>
      </x:c>
      <x:c r="Q54" s="69" t="str">
        <x:v>Not started</x:v>
      </x:c>
    </x:row>
    <x:row r="55">
      <x:c r="A55" s="25" t="str">
        <x:v>AR-P11-US</x:v>
      </x:c>
      <x:c r="B55" s="63" t="str">
        <x:v>P11</x:v>
      </x:c>
      <x:c r="C55" s="63" t="str">
        <x:v>hand_tool</x:v>
      </x:c>
      <x:c r="D55" s="63" t="str">
        <x:v>ad_banner</x:v>
      </x:c>
      <x:c r="E55" s="63" t="str">
        <x:v>US</x:v>
      </x:c>
      <x:c r="F55" s="63" t="str">
        <x:v>en</x:v>
      </x:c>
      <x:c r="G55" s="63" t="str">
        <x:v>LTR</x:v>
      </x:c>
      <x:c r="H55" s="63" t="str">
        <x:v>absent</x:v>
      </x:c>
      <x:c r="I55" s="66" t="str">
        <x:v>https://upload.wikimedia.org/wikipedia/commons/thumb/0/0c/Cordless_electric_%28screw%29_drill.jpg/1280px-Cordless_electric_%28screw%29_drill.jpg</x:v>
      </x:c>
      <x:c r="J55" s="66" t="str"/>
      <x:c r="K55" s="66" t="str">
        <x:v>Product: CC0 1.0</x:v>
      </x:c>
      <x:c r="L55" s="66" t="str">
        <x:v>BLACK &amp; DECKER marking is visible; use only in the frozen local technical evaluation.</x:v>
      </x:c>
      <x:c r="M55" s="66" t="str"/>
      <x:c r="N55" s="66" t="str"/>
      <x:c r="O55" s="72" t="n">
        <x:v>1</x:v>
      </x:c>
      <x:c r="P55" s="66" t="str">
        <x:v>Yes</x:v>
      </x:c>
      <x:c r="Q55" s="69" t="str">
        <x:v>Not started</x:v>
      </x:c>
    </x:row>
    <x:row r="56">
      <x:c r="A56" s="25" t="str">
        <x:v>AR-P11-DE</x:v>
      </x:c>
      <x:c r="B56" s="63" t="str">
        <x:v>P11</x:v>
      </x:c>
      <x:c r="C56" s="63" t="str">
        <x:v>hand_tool</x:v>
      </x:c>
      <x:c r="D56" s="63" t="str">
        <x:v>ad_banner</x:v>
      </x:c>
      <x:c r="E56" s="63" t="str">
        <x:v>DE</x:v>
      </x:c>
      <x:c r="F56" s="63" t="str">
        <x:v>de</x:v>
      </x:c>
      <x:c r="G56" s="63" t="str">
        <x:v>LTR</x:v>
      </x:c>
      <x:c r="H56" s="63" t="str">
        <x:v>absent</x:v>
      </x:c>
      <x:c r="I56" s="66" t="str">
        <x:v>https://upload.wikimedia.org/wikipedia/commons/thumb/0/0c/Cordless_electric_%28screw%29_drill.jpg/1280px-Cordless_electric_%28screw%29_drill.jpg</x:v>
      </x:c>
      <x:c r="J56" s="66" t="str"/>
      <x:c r="K56" s="66" t="str">
        <x:v>Product: CC0 1.0</x:v>
      </x:c>
      <x:c r="L56" s="66" t="str">
        <x:v>BLACK &amp; DECKER marking is visible; use only in the frozen local technical evaluation.</x:v>
      </x:c>
      <x:c r="M56" s="66" t="str"/>
      <x:c r="N56" s="66" t="str"/>
      <x:c r="O56" s="72" t="n">
        <x:v>1</x:v>
      </x:c>
      <x:c r="P56" s="66" t="str">
        <x:v>Yes</x:v>
      </x:c>
      <x:c r="Q56" s="69" t="str">
        <x:v>Not started</x:v>
      </x:c>
    </x:row>
    <x:row r="57">
      <x:c r="A57" s="25" t="str">
        <x:v>AR-P11-JP</x:v>
      </x:c>
      <x:c r="B57" s="63" t="str">
        <x:v>P11</x:v>
      </x:c>
      <x:c r="C57" s="63" t="str">
        <x:v>hand_tool</x:v>
      </x:c>
      <x:c r="D57" s="63" t="str">
        <x:v>ad_banner</x:v>
      </x:c>
      <x:c r="E57" s="63" t="str">
        <x:v>JP</x:v>
      </x:c>
      <x:c r="F57" s="63" t="str">
        <x:v>ja</x:v>
      </x:c>
      <x:c r="G57" s="63" t="str">
        <x:v>LTR</x:v>
      </x:c>
      <x:c r="H57" s="63" t="str">
        <x:v>absent</x:v>
      </x:c>
      <x:c r="I57" s="66" t="str">
        <x:v>https://upload.wikimedia.org/wikipedia/commons/thumb/0/0c/Cordless_electric_%28screw%29_drill.jpg/1280px-Cordless_electric_%28screw%29_drill.jpg</x:v>
      </x:c>
      <x:c r="J57" s="66" t="str"/>
      <x:c r="K57" s="66" t="str">
        <x:v>Product: CC0 1.0</x:v>
      </x:c>
      <x:c r="L57" s="66" t="str">
        <x:v>BLACK &amp; DECKER marking is visible; use only in the frozen local technical evaluation.</x:v>
      </x:c>
      <x:c r="M57" s="66" t="str"/>
      <x:c r="N57" s="66" t="str"/>
      <x:c r="O57" s="72" t="n">
        <x:v>1</x:v>
      </x:c>
      <x:c r="P57" s="66" t="str">
        <x:v>Yes</x:v>
      </x:c>
      <x:c r="Q57" s="69" t="str">
        <x:v>Not started</x:v>
      </x:c>
    </x:row>
    <x:row r="58">
      <x:c r="A58" s="25" t="str">
        <x:v>AR-P11-KR</x:v>
      </x:c>
      <x:c r="B58" s="63" t="str">
        <x:v>P11</x:v>
      </x:c>
      <x:c r="C58" s="63" t="str">
        <x:v>hand_tool</x:v>
      </x:c>
      <x:c r="D58" s="63" t="str">
        <x:v>ad_banner</x:v>
      </x:c>
      <x:c r="E58" s="63" t="str">
        <x:v>KR</x:v>
      </x:c>
      <x:c r="F58" s="63" t="str">
        <x:v>ko</x:v>
      </x:c>
      <x:c r="G58" s="63" t="str">
        <x:v>LTR</x:v>
      </x:c>
      <x:c r="H58" s="63" t="str">
        <x:v>absent</x:v>
      </x:c>
      <x:c r="I58" s="66" t="str">
        <x:v>https://upload.wikimedia.org/wikipedia/commons/thumb/0/0c/Cordless_electric_%28screw%29_drill.jpg/1280px-Cordless_electric_%28screw%29_drill.jpg</x:v>
      </x:c>
      <x:c r="J58" s="66" t="str"/>
      <x:c r="K58" s="66" t="str">
        <x:v>Product: CC0 1.0</x:v>
      </x:c>
      <x:c r="L58" s="66" t="str">
        <x:v>BLACK &amp; DECKER marking is visible; use only in the frozen local technical evaluation.</x:v>
      </x:c>
      <x:c r="M58" s="66" t="str"/>
      <x:c r="N58" s="66" t="str"/>
      <x:c r="O58" s="72" t="n">
        <x:v>1</x:v>
      </x:c>
      <x:c r="P58" s="66" t="str">
        <x:v>Yes</x:v>
      </x:c>
      <x:c r="Q58" s="69" t="str">
        <x:v>Not started</x:v>
      </x:c>
    </x:row>
    <x:row r="59">
      <x:c r="A59" s="25" t="str">
        <x:v>AR-P11-AE</x:v>
      </x:c>
      <x:c r="B59" s="63" t="str">
        <x:v>P11</x:v>
      </x:c>
      <x:c r="C59" s="63" t="str">
        <x:v>hand_tool</x:v>
      </x:c>
      <x:c r="D59" s="63" t="str">
        <x:v>ad_banner</x:v>
      </x:c>
      <x:c r="E59" s="63" t="str">
        <x:v>AE</x:v>
      </x:c>
      <x:c r="F59" s="63" t="str">
        <x:v>ar</x:v>
      </x:c>
      <x:c r="G59" s="63" t="str">
        <x:v>RTL</x:v>
      </x:c>
      <x:c r="H59" s="63" t="str">
        <x:v>absent</x:v>
      </x:c>
      <x:c r="I59" s="66" t="str">
        <x:v>https://upload.wikimedia.org/wikipedia/commons/thumb/0/0c/Cordless_electric_%28screw%29_drill.jpg/1280px-Cordless_electric_%28screw%29_drill.jpg</x:v>
      </x:c>
      <x:c r="J59" s="66" t="str"/>
      <x:c r="K59" s="66" t="str">
        <x:v>Product: CC0 1.0</x:v>
      </x:c>
      <x:c r="L59" s="66" t="str">
        <x:v>BLACK &amp; DECKER marking is visible; use only in the frozen local technical evaluation.</x:v>
      </x:c>
      <x:c r="M59" s="66" t="str"/>
      <x:c r="N59" s="66" t="str"/>
      <x:c r="O59" s="72" t="n">
        <x:v>1</x:v>
      </x:c>
      <x:c r="P59" s="66" t="str">
        <x:v>Yes</x:v>
      </x:c>
      <x:c r="Q59" s="69" t="str">
        <x:v>Not started</x:v>
      </x:c>
    </x:row>
    <x:row r="60">
      <x:c r="A60" s="25" t="str">
        <x:v>AR-P12-US</x:v>
      </x:c>
      <x:c r="B60" s="63" t="str">
        <x:v>P12</x:v>
      </x:c>
      <x:c r="C60" s="63" t="str">
        <x:v>perfume_bottle</x:v>
      </x:c>
      <x:c r="D60" s="63" t="str">
        <x:v>ad_banner</x:v>
      </x:c>
      <x:c r="E60" s="63" t="str">
        <x:v>US</x:v>
      </x:c>
      <x:c r="F60" s="63" t="str">
        <x:v>en</x:v>
      </x:c>
      <x:c r="G60" s="63" t="str">
        <x:v>LTR</x:v>
      </x:c>
      <x:c r="H60" s="63" t="str">
        <x:v>absent</x:v>
      </x:c>
      <x:c r="I60" s="66" t="str">
        <x:v>https://upload.wikimedia.org/wikipedia/commons/5/52/Perfume_Bottle.jpg</x:v>
      </x:c>
      <x:c r="J60" s="66" t="str"/>
      <x:c r="K60" s="66" t="str">
        <x:v>Product: Public domain (released by author)</x:v>
      </x:c>
      <x:c r="L60" s="66" t="str">
        <x:v>No distinct trademark detected in the reviewed image.</x:v>
      </x:c>
      <x:c r="M60" s="66" t="str"/>
      <x:c r="N60" s="66" t="str"/>
      <x:c r="O60" s="72" t="n">
        <x:v>1</x:v>
      </x:c>
      <x:c r="P60" s="66" t="str">
        <x:v>Yes</x:v>
      </x:c>
      <x:c r="Q60" s="69" t="str">
        <x:v>Not started</x:v>
      </x:c>
    </x:row>
    <x:row r="61">
      <x:c r="A61" s="25" t="str">
        <x:v>AR-P12-DE</x:v>
      </x:c>
      <x:c r="B61" s="63" t="str">
        <x:v>P12</x:v>
      </x:c>
      <x:c r="C61" s="63" t="str">
        <x:v>perfume_bottle</x:v>
      </x:c>
      <x:c r="D61" s="63" t="str">
        <x:v>ad_banner</x:v>
      </x:c>
      <x:c r="E61" s="63" t="str">
        <x:v>DE</x:v>
      </x:c>
      <x:c r="F61" s="63" t="str">
        <x:v>de</x:v>
      </x:c>
      <x:c r="G61" s="63" t="str">
        <x:v>LTR</x:v>
      </x:c>
      <x:c r="H61" s="63" t="str">
        <x:v>absent</x:v>
      </x:c>
      <x:c r="I61" s="66" t="str">
        <x:v>https://upload.wikimedia.org/wikipedia/commons/5/52/Perfume_Bottle.jpg</x:v>
      </x:c>
      <x:c r="J61" s="66" t="str"/>
      <x:c r="K61" s="66" t="str">
        <x:v>Product: Public domain (released by author)</x:v>
      </x:c>
      <x:c r="L61" s="66" t="str">
        <x:v>No distinct trademark detected in the reviewed image.</x:v>
      </x:c>
      <x:c r="M61" s="66" t="str"/>
      <x:c r="N61" s="66" t="str"/>
      <x:c r="O61" s="72" t="n">
        <x:v>1</x:v>
      </x:c>
      <x:c r="P61" s="66" t="str">
        <x:v>Yes</x:v>
      </x:c>
      <x:c r="Q61" s="69" t="str">
        <x:v>Not started</x:v>
      </x:c>
    </x:row>
    <x:row r="62">
      <x:c r="A62" s="25" t="str">
        <x:v>AR-P12-JP</x:v>
      </x:c>
      <x:c r="B62" s="63" t="str">
        <x:v>P12</x:v>
      </x:c>
      <x:c r="C62" s="63" t="str">
        <x:v>perfume_bottle</x:v>
      </x:c>
      <x:c r="D62" s="63" t="str">
        <x:v>ad_banner</x:v>
      </x:c>
      <x:c r="E62" s="63" t="str">
        <x:v>JP</x:v>
      </x:c>
      <x:c r="F62" s="63" t="str">
        <x:v>ja</x:v>
      </x:c>
      <x:c r="G62" s="63" t="str">
        <x:v>LTR</x:v>
      </x:c>
      <x:c r="H62" s="63" t="str">
        <x:v>absent</x:v>
      </x:c>
      <x:c r="I62" s="66" t="str">
        <x:v>https://upload.wikimedia.org/wikipedia/commons/5/52/Perfume_Bottle.jpg</x:v>
      </x:c>
      <x:c r="J62" s="66" t="str"/>
      <x:c r="K62" s="66" t="str">
        <x:v>Product: Public domain (released by author)</x:v>
      </x:c>
      <x:c r="L62" s="66" t="str">
        <x:v>No distinct trademark detected in the reviewed image.</x:v>
      </x:c>
      <x:c r="M62" s="66" t="str"/>
      <x:c r="N62" s="66" t="str"/>
      <x:c r="O62" s="72" t="n">
        <x:v>1</x:v>
      </x:c>
      <x:c r="P62" s="66" t="str">
        <x:v>Yes</x:v>
      </x:c>
      <x:c r="Q62" s="69" t="str">
        <x:v>Not started</x:v>
      </x:c>
    </x:row>
    <x:row r="63">
      <x:c r="A63" s="25" t="str">
        <x:v>AR-P12-KR</x:v>
      </x:c>
      <x:c r="B63" s="63" t="str">
        <x:v>P12</x:v>
      </x:c>
      <x:c r="C63" s="63" t="str">
        <x:v>perfume_bottle</x:v>
      </x:c>
      <x:c r="D63" s="63" t="str">
        <x:v>ad_banner</x:v>
      </x:c>
      <x:c r="E63" s="63" t="str">
        <x:v>KR</x:v>
      </x:c>
      <x:c r="F63" s="63" t="str">
        <x:v>ko</x:v>
      </x:c>
      <x:c r="G63" s="63" t="str">
        <x:v>LTR</x:v>
      </x:c>
      <x:c r="H63" s="63" t="str">
        <x:v>absent</x:v>
      </x:c>
      <x:c r="I63" s="66" t="str">
        <x:v>https://upload.wikimedia.org/wikipedia/commons/5/52/Perfume_Bottle.jpg</x:v>
      </x:c>
      <x:c r="J63" s="66" t="str"/>
      <x:c r="K63" s="66" t="str">
        <x:v>Product: Public domain (released by author)</x:v>
      </x:c>
      <x:c r="L63" s="66" t="str">
        <x:v>No distinct trademark detected in the reviewed image.</x:v>
      </x:c>
      <x:c r="M63" s="66" t="str"/>
      <x:c r="N63" s="66" t="str"/>
      <x:c r="O63" s="72" t="n">
        <x:v>1</x:v>
      </x:c>
      <x:c r="P63" s="66" t="str">
        <x:v>Yes</x:v>
      </x:c>
      <x:c r="Q63" s="69" t="str">
        <x:v>Not started</x:v>
      </x:c>
    </x:row>
    <x:row r="64">
      <x:c r="A64" s="27" t="str">
        <x:v>AR-P12-AE</x:v>
      </x:c>
      <x:c r="B64" s="64" t="str">
        <x:v>P12</x:v>
      </x:c>
      <x:c r="C64" s="64" t="str">
        <x:v>perfume_bottle</x:v>
      </x:c>
      <x:c r="D64" s="64" t="str">
        <x:v>ad_banner</x:v>
      </x:c>
      <x:c r="E64" s="64" t="str">
        <x:v>AE</x:v>
      </x:c>
      <x:c r="F64" s="64" t="str">
        <x:v>ar</x:v>
      </x:c>
      <x:c r="G64" s="64" t="str">
        <x:v>RTL</x:v>
      </x:c>
      <x:c r="H64" s="64" t="str">
        <x:v>absent</x:v>
      </x:c>
      <x:c r="I64" s="67" t="str">
        <x:v>https://upload.wikimedia.org/wikipedia/commons/5/52/Perfume_Bottle.jpg</x:v>
      </x:c>
      <x:c r="J64" s="67" t="str"/>
      <x:c r="K64" s="67" t="str">
        <x:v>Product: Public domain (released by author)</x:v>
      </x:c>
      <x:c r="L64" s="67" t="str">
        <x:v>No distinct trademark detected in the reviewed image.</x:v>
      </x:c>
      <x:c r="M64" s="67" t="str"/>
      <x:c r="N64" s="67" t="str"/>
      <x:c r="O64" s="73" t="n">
        <x:v>1</x:v>
      </x:c>
      <x:c r="P64" s="67" t="str">
        <x:v>Yes</x:v>
      </x:c>
      <x:c r="Q64" s="70" t="str">
        <x:v>Not started</x:v>
      </x:c>
    </x:row>
  </x:sheetData>
  <x:mergeCells>
    <x:mergeCell ref="A1:Q1"/>
    <x:mergeCell ref="A2:Q2"/>
  </x:mergeCells>
  <x:dataValidations count="2">
    <x:dataValidation type="list" sqref="P5:P64">
      <x:formula1>"No,Yes"</x:formula1>
    </x:dataValidation>
    <x:dataValidation type="list" sqref="Q5:Q64">
      <x:formula1>"Not started,Generated,Failed,Excluded by predeclared rule"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24" hidden="0" customWidth="1"/>
    <x:col min="5" max="5" width="30" hidden="0" customWidth="1"/>
    <x:col min="6" max="6" width="30" hidden="0" customWidth="1"/>
    <x:col min="7" max="7" width="46" hidden="0" customWidth="1"/>
    <x:col min="8" max="8" width="46" hidden="0" customWidth="1"/>
    <x:col min="9" max="9" width="20" hidden="0" customWidth="1"/>
    <x:col min="10" max="10" width="20" hidden="0" customWidth="1"/>
    <x:col min="11" max="11" width="42" hidden="0" customWidth="1"/>
    <x:col min="12" max="12" width="42" hidden="0" customWidth="1"/>
    <x:col min="13" max="13" width="42" hidden="0" customWidth="1"/>
    <x:col min="14" max="14" width="42" hidden="0" customWidth="1"/>
  </x:cols>
  <x:sheetData>
    <x:row r="1" ht="34" customHeight="1">
      <x:c r="A1" s="3" t="str">
        <x:v>Verified Public Source Audit</x:v>
      </x:c>
      <x:c r="B1" s="3" t="str">
        <x:v>Verified Public Source Audit</x:v>
      </x:c>
      <x:c r="C1" s="3" t="str">
        <x:v>Verified Public Source Audit</x:v>
      </x:c>
      <x:c r="D1" s="3" t="str">
        <x:v>Verified Public Source Audit</x:v>
      </x:c>
      <x:c r="E1" s="3" t="str">
        <x:v>Verified Public Source Audit</x:v>
      </x:c>
      <x:c r="F1" s="3" t="str">
        <x:v>Verified Public Source Audit</x:v>
      </x:c>
      <x:c r="G1" s="3" t="str">
        <x:v>Verified Public Source Audit</x:v>
      </x:c>
      <x:c r="H1" s="3" t="str">
        <x:v>Verified Public Source Audit</x:v>
      </x:c>
      <x:c r="I1" s="3" t="str">
        <x:v>Verified Public Source Audit</x:v>
      </x:c>
      <x:c r="J1" s="3" t="str">
        <x:v>Verified Public Source Audit</x:v>
      </x:c>
      <x:c r="K1" s="3" t="str">
        <x:v>Verified Public Source Audit</x:v>
      </x:c>
      <x:c r="L1" s="3" t="str">
        <x:v>Verified Public Source Audit</x:v>
      </x:c>
      <x:c r="M1" s="3" t="str">
        <x:v>Verified Public Source Audit</x:v>
      </x:c>
      <x:c r="N1" s="3" t="str">
        <x:v>Verified Public Source Audit</x:v>
      </x:c>
    </x:row>
    <x:row r="2" ht="30" customHeight="1">
      <x:c r="A2" s="7" t="str">
        <x:v>12 products + eight Logo references · downloaded, decoded, and visually checked on 2026-08-04 · local technical evaluation only</x:v>
      </x:c>
      <x:c r="B2" s="7" t="str">
        <x:v>12 products + eight Logo references · downloaded, decoded, and visually checked on 2026-08-04 · local technical evaluation only</x:v>
      </x:c>
      <x:c r="C2" s="7" t="str">
        <x:v>12 products + eight Logo references · downloaded, decoded, and visually checked on 2026-08-04 · local technical evaluation only</x:v>
      </x:c>
      <x:c r="D2" s="7" t="str">
        <x:v>12 products + eight Logo references · downloaded, decoded, and visually checked on 2026-08-04 · local technical evaluation only</x:v>
      </x:c>
      <x:c r="E2" s="7" t="str">
        <x:v>12 products + eight Logo references · downloaded, decoded, and visually checked on 2026-08-04 · local technical evaluation only</x:v>
      </x:c>
      <x:c r="F2" s="7" t="str">
        <x:v>12 products + eight Logo references · downloaded, decoded, and visually checked on 2026-08-04 · local technical evaluation only</x:v>
      </x:c>
      <x:c r="G2" s="7" t="str">
        <x:v>12 products + eight Logo references · downloaded, decoded, and visually checked on 2026-08-04 · local technical evaluation only</x:v>
      </x:c>
      <x:c r="H2" s="7" t="str">
        <x:v>12 products + eight Logo references · downloaded, decoded, and visually checked on 2026-08-04 · local technical evaluation only</x:v>
      </x:c>
      <x:c r="I2" s="7" t="str">
        <x:v>12 products + eight Logo references · downloaded, decoded, and visually checked on 2026-08-04 · local technical evaluation only</x:v>
      </x:c>
      <x:c r="J2" s="7" t="str">
        <x:v>12 products + eight Logo references · downloaded, decoded, and visually checked on 2026-08-04 · local technical evaluation only</x:v>
      </x:c>
      <x:c r="K2" s="7" t="str">
        <x:v>12 products + eight Logo references · downloaded, decoded, and visually checked on 2026-08-04 · local technical evaluation only</x:v>
      </x:c>
      <x:c r="L2" s="7" t="str">
        <x:v>12 products + eight Logo references · downloaded, decoded, and visually checked on 2026-08-04 · local technical evaluation only</x:v>
      </x:c>
      <x:c r="M2" s="7" t="str">
        <x:v>12 products + eight Logo references · downloaded, decoded, and visually checked on 2026-08-04 · local technical evaluation only</x:v>
      </x:c>
      <x:c r="N2" s="7" t="str">
        <x:v>12 products + eight Logo references · downloaded, decoded, and visually checked on 2026-08-04 · local technical evaluation only</x:v>
      </x:c>
    </x:row>
    <x:row r="4" ht="30" customHeight="1">
      <x:c r="A4" s="14" t="str">
        <x:v>asset_id</x:v>
      </x:c>
      <x:c r="B4" s="58" t="str">
        <x:v>asset_type</x:v>
      </x:c>
      <x:c r="C4" s="58" t="str">
        <x:v>assigned_slot</x:v>
      </x:c>
      <x:c r="D4" s="58" t="str">
        <x:v>name_or_category</x:v>
      </x:c>
      <x:c r="E4" s="58" t="str">
        <x:v>author</x:v>
      </x:c>
      <x:c r="F4" s="58" t="str">
        <x:v>license</x:v>
      </x:c>
      <x:c r="G4" s="58" t="str">
        <x:v>source_page</x:v>
      </x:c>
      <x:c r="H4" s="58" t="str">
        <x:v>evaluation_url</x:v>
      </x:c>
      <x:c r="I4" s="58" t="str">
        <x:v>evaluated_dimensions</x:v>
      </x:c>
      <x:c r="J4" s="58" t="str">
        <x:v>mime</x:v>
      </x:c>
      <x:c r="K4" s="58" t="str">
        <x:v>original_sha1</x:v>
      </x:c>
      <x:c r="L4" s="58" t="str">
        <x:v>license_duty</x:v>
      </x:c>
      <x:c r="M4" s="58" t="str">
        <x:v>trademark_or_restriction</x:v>
      </x:c>
      <x:c r="N4" s="15" t="str">
        <x:v>verification</x:v>
      </x:c>
    </x:row>
    <x:row r="5">
      <x:c r="A5" s="77" t="str">
        <x:v>P01</x:v>
      </x:c>
      <x:c r="B5" s="78" t="str">
        <x:v>product</x:v>
      </x:c>
      <x:c r="C5" s="78" t="str">
        <x:v>P01</x:v>
      </x:c>
      <x:c r="D5" s="78" t="str">
        <x:v>reusable_bottle</x:v>
      </x:c>
      <x:c r="E5" s="78" t="str">
        <x:v>Gannu03</x:v>
      </x:c>
      <x:c r="F5" s="78" t="str">
        <x:v>CC BY-SA 4.0</x:v>
      </x:c>
      <x:c r="G5" s="78" t="str">
        <x:v>https://commons.wikimedia.org/wiki/File:Stainless_Steel_Water_Bottle.jpg</x:v>
      </x:c>
      <x:c r="H5" s="78" t="str">
        <x:v>https://upload.wikimedia.org/wikipedia/commons/thumb/0/08/Stainless_Steel_Water_Bottle.jpg/1280px-Stainless_Steel_Water_Bottle.jpg</x:v>
      </x:c>
      <x:c r="I5" s="78" t="str">
        <x:v>1280x1920</x:v>
      </x:c>
      <x:c r="J5" s="78" t="str">
        <x:v>image/jpeg</x:v>
      </x:c>
      <x:c r="K5" s="78" t="str">
        <x:v>4a0a2cba98a9b551843606efe28c4f2a78a27478</x:v>
      </x:c>
      <x:c r="L5" s="78" t="str">
        <x:v>Attribution + share alike</x:v>
      </x:c>
      <x:c r="M5" s="78" t="str">
        <x:v>No distinct trademark detected in the reviewed image.</x:v>
      </x:c>
      <x:c r="N5" s="79" t="str">
        <x:v>Download + decode + visual QA passed</x:v>
      </x:c>
    </x:row>
    <x:row r="6">
      <x:c r="A6" s="80" t="str">
        <x:v>P02</x:v>
      </x:c>
      <x:c r="B6" s="81" t="str">
        <x:v>product</x:v>
      </x:c>
      <x:c r="C6" s="81" t="str">
        <x:v>P02</x:v>
      </x:c>
      <x:c r="D6" s="81" t="str">
        <x:v>skin_care_bottle</x:v>
      </x:c>
      <x:c r="E6" s="81" t="str">
        <x:v>Bondigoldwiki</x:v>
      </x:c>
      <x:c r="F6" s="81" t="str">
        <x:v>CC0 1.0</x:v>
      </x:c>
      <x:c r="G6" s="81" t="str">
        <x:v>https://commons.wikimedia.org/wiki/File:Eye_Dropper_Bottle_1.jpg</x:v>
      </x:c>
      <x:c r="H6" s="81" t="str">
        <x:v>https://upload.wikimedia.org/wikipedia/commons/b/b1/Eye_Dropper_Bottle_1.jpg</x:v>
      </x:c>
      <x:c r="I6" s="81" t="str">
        <x:v>400x933</x:v>
      </x:c>
      <x:c r="J6" s="81" t="str">
        <x:v>image/jpeg</x:v>
      </x:c>
      <x:c r="K6" s="81" t="str">
        <x:v>45ffb6d7909d50b74ac4d4da4f1dc148e2bb7d0a</x:v>
      </x:c>
      <x:c r="L6" s="81" t="str">
        <x:v>No copyright attribution required</x:v>
      </x:c>
      <x:c r="M6" s="81" t="str">
        <x:v>No distinct trademark detected in the reviewed image.</x:v>
      </x:c>
      <x:c r="N6" s="82" t="str">
        <x:v>Download + decode + visual QA passed</x:v>
      </x:c>
    </x:row>
    <x:row r="7">
      <x:c r="A7" s="80" t="str">
        <x:v>P03</x:v>
      </x:c>
      <x:c r="B7" s="81" t="str">
        <x:v>product</x:v>
      </x:c>
      <x:c r="C7" s="81" t="str">
        <x:v>P03</x:v>
      </x:c>
      <x:c r="D7" s="81" t="str">
        <x:v>wireless_earbuds</x:v>
      </x:c>
      <x:c r="E7" s="81" t="str">
        <x:v>JustKronos</x:v>
      </x:c>
      <x:c r="F7" s="81" t="str">
        <x:v>CC0 1.0</x:v>
      </x:c>
      <x:c r="G7" s="81" t="str">
        <x:v>https://commons.wikimedia.org/wiki/File:%D0%91%D0%B5%D1%81%D0%BF%D1%80%D0%BE%D0%B2%D0%BE%D0%B4%D0%BD%D1%8B%D0%B5_%D0%BD%D0%B0%D1%83%D1%88%D0%BD%D0%B8%D0%BA%D0%B8.jpg</x:v>
      </x:c>
      <x:c r="H7" s="81" t="str">
        <x:v>https://upload.wikimedia.org/wikipedia/commons/thumb/9/97/%D0%91%D0%B5%D1%81%D0%BF%D1%80%D0%BE%D0%B2%D0%BE%D0%B4%D0%BD%D1%8B%D0%B5_%D0%BD%D0%B0%D1%83%D1%88%D0%BD%D0%B8%D0%BA%D0%B8.jpg/1280px-%D0%91%D0%B5%D1%81%D0%BF%D1%80%D0%BE%D0%B2%D0%BE%D0%B4%D0%BD%D1%8B%D0%B5_%D0%BD%D0%B0%D1%83%D1%88%D0%BD%D0%B8%D0%BA%D0%B8.jpg</x:v>
      </x:c>
      <x:c r="I7" s="81" t="str">
        <x:v>1280x960</x:v>
      </x:c>
      <x:c r="J7" s="81" t="str">
        <x:v>image/jpeg</x:v>
      </x:c>
      <x:c r="K7" s="81" t="str">
        <x:v>3386d293d4b10ee2ef46f31e162fc268bd8acaf4</x:v>
      </x:c>
      <x:c r="L7" s="81" t="str">
        <x:v>No copyright attribution required</x:v>
      </x:c>
      <x:c r="M7" s="81" t="str">
        <x:v>EDIFIER and X5 markings are visible; use only in the frozen local technical evaluation.</x:v>
      </x:c>
      <x:c r="N7" s="82" t="str">
        <x:v>Download + decode + visual QA passed</x:v>
      </x:c>
    </x:row>
    <x:row r="8">
      <x:c r="A8" s="80" t="str">
        <x:v>P04</x:v>
      </x:c>
      <x:c r="B8" s="81" t="str">
        <x:v>product</x:v>
      </x:c>
      <x:c r="C8" s="81" t="str">
        <x:v>P04</x:v>
      </x:c>
      <x:c r="D8" s="81" t="str">
        <x:v>running_shoe</x:v>
      </x:c>
      <x:c r="E8" s="81" t="str">
        <x:v>Tiia Monto</x:v>
      </x:c>
      <x:c r="F8" s="81" t="str">
        <x:v>CC BY-SA 4.0</x:v>
      </x:c>
      <x:c r="G8" s="81" t="str">
        <x:v>https://commons.wikimedia.org/wiki/File:Running_shoes.jpg</x:v>
      </x:c>
      <x:c r="H8" s="81" t="str">
        <x:v>https://upload.wikimedia.org/wikipedia/commons/thumb/a/a7/Running_shoes.jpg/1280px-Running_shoes.jpg</x:v>
      </x:c>
      <x:c r="I8" s="81" t="str">
        <x:v>1280x1170</x:v>
      </x:c>
      <x:c r="J8" s="81" t="str">
        <x:v>image/jpeg</x:v>
      </x:c>
      <x:c r="K8" s="81" t="str">
        <x:v>f60511939a974a605a2a00e8b7434c2c1036125d</x:v>
      </x:c>
      <x:c r="L8" s="81" t="str">
        <x:v>Attribution + share alike</x:v>
      </x:c>
      <x:c r="M8" s="81" t="str">
        <x:v>ASICS wordmark and defining side mark are visible; use only in the frozen local technical evaluation.</x:v>
      </x:c>
      <x:c r="N8" s="82" t="str">
        <x:v>Download + decode + visual QA passed</x:v>
      </x:c>
    </x:row>
    <x:row r="9">
      <x:c r="A9" s="80" t="str">
        <x:v>P05</x:v>
      </x:c>
      <x:c r="B9" s="81" t="str">
        <x:v>product</x:v>
      </x:c>
      <x:c r="C9" s="81" t="str">
        <x:v>P05</x:v>
      </x:c>
      <x:c r="D9" s="81" t="str">
        <x:v>backpack</x:v>
      </x:c>
      <x:c r="E9" s="81" t="str">
        <x:v>Gamingforfun365</x:v>
      </x:c>
      <x:c r="F9" s="81" t="str">
        <x:v>CC BY-SA 3.0</x:v>
      </x:c>
      <x:c r="G9" s="81" t="str">
        <x:v>https://commons.wikimedia.org/wiki/File:School_bag_backpack.jpg</x:v>
      </x:c>
      <x:c r="H9" s="81" t="str">
        <x:v>https://upload.wikimedia.org/wikipedia/commons/thumb/2/2c/School_bag_backpack.jpg/1280px-School_bag_backpack.jpg</x:v>
      </x:c>
      <x:c r="I9" s="81" t="str">
        <x:v>1280x1714</x:v>
      </x:c>
      <x:c r="J9" s="81" t="str">
        <x:v>image/jpeg</x:v>
      </x:c>
      <x:c r="K9" s="81" t="str">
        <x:v>2026b12b28f78be251fdafdd92f522d34ced1de0</x:v>
      </x:c>
      <x:c r="L9" s="81" t="str">
        <x:v>Attribution + share alike</x:v>
      </x:c>
      <x:c r="M9" s="81" t="str">
        <x:v>A GRIP label is visible; treat it as a possible mark and use only in the frozen local technical evaluation.</x:v>
      </x:c>
      <x:c r="N9" s="82" t="str">
        <x:v>Download + decode + visual QA passed</x:v>
      </x:c>
    </x:row>
    <x:row r="10">
      <x:c r="A10" s="80" t="str">
        <x:v>P06</x:v>
      </x:c>
      <x:c r="B10" s="81" t="str">
        <x:v>product</x:v>
      </x:c>
      <x:c r="C10" s="81" t="str">
        <x:v>P06</x:v>
      </x:c>
      <x:c r="D10" s="81" t="str">
        <x:v>wristwatch</x:v>
      </x:c>
      <x:c r="E10" s="81" t="str">
        <x:v>Mohylek</x:v>
      </x:c>
      <x:c r="F10" s="81" t="str">
        <x:v>Public domain (released by author)</x:v>
      </x:c>
      <x:c r="G10" s="81" t="str">
        <x:v>https://commons.wikimedia.org/wiki/File:Wristwatch.jpg</x:v>
      </x:c>
      <x:c r="H10" s="81" t="str">
        <x:v>https://upload.wikimedia.org/wikipedia/commons/6/69/Wristwatch.jpg</x:v>
      </x:c>
      <x:c r="I10" s="81" t="str">
        <x:v>1227x1059</x:v>
      </x:c>
      <x:c r="J10" s="81" t="str">
        <x:v>image/jpeg</x:v>
      </x:c>
      <x:c r="K10" s="81" t="str">
        <x:v>44a16680d5a6406a00f83cf87bbe489f9527c014</x:v>
      </x:c>
      <x:c r="L10" s="81" t="str">
        <x:v>No copyright attribution required</x:v>
      </x:c>
      <x:c r="M10" s="81" t="str">
        <x:v>SEASIDE wording is visible; use only in the frozen local technical evaluation.</x:v>
      </x:c>
      <x:c r="N10" s="82" t="str">
        <x:v>Download + decode + visual QA passed</x:v>
      </x:c>
    </x:row>
    <x:row r="11">
      <x:c r="A11" s="80" t="str">
        <x:v>P07</x:v>
      </x:c>
      <x:c r="B11" s="81" t="str">
        <x:v>product</x:v>
      </x:c>
      <x:c r="C11" s="81" t="str">
        <x:v>P07</x:v>
      </x:c>
      <x:c r="D11" s="81" t="str">
        <x:v>coffee_maker</x:v>
      </x:c>
      <x:c r="E11" s="81" t="str">
        <x:v>cactus cowboy</x:v>
      </x:c>
      <x:c r="F11" s="81" t="str">
        <x:v>CC0 1.0</x:v>
      </x:c>
      <x:c r="G11" s="81" t="str">
        <x:v>https://commons.wikimedia.org/wiki/File:Drip_coffee_maker.svg</x:v>
      </x:c>
      <x:c r="H11" s="81" t="str">
        <x:v>https://upload.wikimedia.org/wikipedia/commons/thumb/a/a2/Drip_coffee_maker.svg/1280px-Drip_coffee_maker.svg.png</x:v>
      </x:c>
      <x:c r="I11" s="81" t="str">
        <x:v>1280x1420</x:v>
      </x:c>
      <x:c r="J11" s="81" t="str">
        <x:v>image/png</x:v>
      </x:c>
      <x:c r="K11" s="81" t="str">
        <x:v>915cd70f2016b82f145d356a4ef0dd78465fa45e</x:v>
      </x:c>
      <x:c r="L11" s="81" t="str">
        <x:v>No copyright attribution required</x:v>
      </x:c>
      <x:c r="M11" s="81" t="str">
        <x:v>No distinct trademark detected in the reviewed illustration.</x:v>
      </x:c>
      <x:c r="N11" s="82" t="str">
        <x:v>Download + decode + visual QA passed</x:v>
      </x:c>
    </x:row>
    <x:row r="12">
      <x:c r="A12" s="80" t="str">
        <x:v>P08</x:v>
      </x:c>
      <x:c r="B12" s="81" t="str">
        <x:v>product</x:v>
      </x:c>
      <x:c r="C12" s="81" t="str">
        <x:v>P08</x:v>
      </x:c>
      <x:c r="D12" s="81" t="str">
        <x:v>snack_package</x:v>
      </x:c>
      <x:c r="E12" s="81" t="str">
        <x:v>gnokii at openclipart.org</x:v>
      </x:c>
      <x:c r="F12" s="81" t="str">
        <x:v>CC0 1.0</x:v>
      </x:c>
      <x:c r="G12" s="81" t="str">
        <x:v>https://commons.wikimedia.org/wiki/File:Popcorn.svg</x:v>
      </x:c>
      <x:c r="H12" s="81" t="str">
        <x:v>https://upload.wikimedia.org/wikipedia/commons/thumb/f/f5/Popcorn.svg/1280px-Popcorn.svg.png</x:v>
      </x:c>
      <x:c r="I12" s="81" t="str">
        <x:v>1280x1802</x:v>
      </x:c>
      <x:c r="J12" s="81" t="str">
        <x:v>image/png</x:v>
      </x:c>
      <x:c r="K12" s="81" t="str">
        <x:v>5e580ca5eadce382f5fb60f7513ea52045ec74b6</x:v>
      </x:c>
      <x:c r="L12" s="81" t="str">
        <x:v>No copyright attribution required</x:v>
      </x:c>
      <x:c r="M12" s="81" t="str">
        <x:v>Generic descriptive wording only; no distinct known trademark detected in the reviewed illustration.</x:v>
      </x:c>
      <x:c r="N12" s="82" t="str">
        <x:v>Download + decode + visual QA passed</x:v>
      </x:c>
    </x:row>
    <x:row r="13">
      <x:c r="A13" s="80" t="str">
        <x:v>P09</x:v>
      </x:c>
      <x:c r="B13" s="81" t="str">
        <x:v>product</x:v>
      </x:c>
      <x:c r="C13" s="81" t="str">
        <x:v>P09</x:v>
      </x:c>
      <x:c r="D13" s="81" t="str">
        <x:v>camera</x:v>
      </x:c>
      <x:c r="E13" s="81" t="str">
        <x:v>cogdogblog</x:v>
      </x:c>
      <x:c r="F13" s="81" t="str">
        <x:v>CC0 1.0</x:v>
      </x:c>
      <x:c r="G13" s="81" t="str">
        <x:v>https://commons.wikimedia.org/wiki/File:Kodak_Instamatic_X-15_camera.jpg</x:v>
      </x:c>
      <x:c r="H13" s="81" t="str">
        <x:v>https://upload.wikimedia.org/wikipedia/commons/thumb/b/b8/Kodak_Instamatic_X-15_camera.jpg/1280px-Kodak_Instamatic_X-15_camera.jpg</x:v>
      </x:c>
      <x:c r="I13" s="81" t="str">
        <x:v>1280x853</x:v>
      </x:c>
      <x:c r="J13" s="81" t="str">
        <x:v>image/jpeg</x:v>
      </x:c>
      <x:c r="K13" s="81" t="str">
        <x:v>da82b7739f4016dc94dd4df4ec589550fcf5fd89</x:v>
      </x:c>
      <x:c r="L13" s="81" t="str">
        <x:v>No copyright attribution required</x:v>
      </x:c>
      <x:c r="M13" s="81" t="str">
        <x:v>Kodak and Instamatic markings are visible; use only in the frozen local technical evaluation.</x:v>
      </x:c>
      <x:c r="N13" s="82" t="str">
        <x:v>Download + decode + visual QA passed</x:v>
      </x:c>
    </x:row>
    <x:row r="14">
      <x:c r="A14" s="80" t="str">
        <x:v>P10</x:v>
      </x:c>
      <x:c r="B14" s="81" t="str">
        <x:v>product</x:v>
      </x:c>
      <x:c r="C14" s="81" t="str">
        <x:v>P10</x:v>
      </x:c>
      <x:c r="D14" s="81" t="str">
        <x:v>desk_lamp</x:v>
      </x:c>
      <x:c r="E14" s="81" t="str">
        <x:v>ViajeroExtraviado</x:v>
      </x:c>
      <x:c r="F14" s="81" t="str">
        <x:v>CC0 1.0</x:v>
      </x:c>
      <x:c r="G14" s="81" t="str">
        <x:v>https://commons.wikimedia.org/wiki/File:Black_desk_lamp.jpg</x:v>
      </x:c>
      <x:c r="H14" s="81" t="str">
        <x:v>https://upload.wikimedia.org/wikipedia/commons/thumb/4/41/Black_desk_lamp.jpg/1280px-Black_desk_lamp.jpg</x:v>
      </x:c>
      <x:c r="I14" s="81" t="str">
        <x:v>1280x1282</x:v>
      </x:c>
      <x:c r="J14" s="81" t="str">
        <x:v>image/jpeg</x:v>
      </x:c>
      <x:c r="K14" s="81" t="str">
        <x:v>ca1e8e11647d571aa1cde69318e96048c5e59a4e</x:v>
      </x:c>
      <x:c r="L14" s="81" t="str">
        <x:v>No copyright attribution required</x:v>
      </x:c>
      <x:c r="M14" s="81" t="str">
        <x:v>No distinct trademark detected in the reviewed image.</x:v>
      </x:c>
      <x:c r="N14" s="82" t="str">
        <x:v>Download + decode + visual QA passed</x:v>
      </x:c>
    </x:row>
    <x:row r="15">
      <x:c r="A15" s="80" t="str">
        <x:v>P11</x:v>
      </x:c>
      <x:c r="B15" s="81" t="str">
        <x:v>product</x:v>
      </x:c>
      <x:c r="C15" s="81" t="str">
        <x:v>P11</x:v>
      </x:c>
      <x:c r="D15" s="81" t="str">
        <x:v>hand_tool</x:v>
      </x:c>
      <x:c r="E15" s="81" t="str">
        <x:v>Fructibus</x:v>
      </x:c>
      <x:c r="F15" s="81" t="str">
        <x:v>CC0 1.0</x:v>
      </x:c>
      <x:c r="G15" s="81" t="str">
        <x:v>https://commons.wikimedia.org/wiki/File:Cordless_electric_(screw)_drill.jpg</x:v>
      </x:c>
      <x:c r="H15" s="81" t="str">
        <x:v>https://upload.wikimedia.org/wikipedia/commons/thumb/0/0c/Cordless_electric_%28screw%29_drill.jpg/1280px-Cordless_electric_%28screw%29_drill.jpg</x:v>
      </x:c>
      <x:c r="I15" s="81" t="str">
        <x:v>1280x1707</x:v>
      </x:c>
      <x:c r="J15" s="81" t="str">
        <x:v>image/jpeg</x:v>
      </x:c>
      <x:c r="K15" s="81" t="str">
        <x:v>12699bce9a2330d1e34459644c370ebdaf1c29b8</x:v>
      </x:c>
      <x:c r="L15" s="81" t="str">
        <x:v>No copyright attribution required</x:v>
      </x:c>
      <x:c r="M15" s="81" t="str">
        <x:v>BLACK &amp; DECKER marking is visible; use only in the frozen local technical evaluation.</x:v>
      </x:c>
      <x:c r="N15" s="82" t="str">
        <x:v>Download + decode + visual QA passed</x:v>
      </x:c>
    </x:row>
    <x:row r="16">
      <x:c r="A16" s="80" t="str">
        <x:v>P12</x:v>
      </x:c>
      <x:c r="B16" s="81" t="str">
        <x:v>product</x:v>
      </x:c>
      <x:c r="C16" s="81" t="str">
        <x:v>P12</x:v>
      </x:c>
      <x:c r="D16" s="81" t="str">
        <x:v>perfume_bottle</x:v>
      </x:c>
      <x:c r="E16" s="81" t="str">
        <x:v>ChickenFreak</x:v>
      </x:c>
      <x:c r="F16" s="81" t="str">
        <x:v>Public domain (released by author)</x:v>
      </x:c>
      <x:c r="G16" s="81" t="str">
        <x:v>https://commons.wikimedia.org/wiki/File:Perfume_Bottle.jpg</x:v>
      </x:c>
      <x:c r="H16" s="81" t="str">
        <x:v>https://upload.wikimedia.org/wikipedia/commons/5/52/Perfume_Bottle.jpg</x:v>
      </x:c>
      <x:c r="I16" s="81" t="str">
        <x:v>806x1475</x:v>
      </x:c>
      <x:c r="J16" s="81" t="str">
        <x:v>image/jpeg</x:v>
      </x:c>
      <x:c r="K16" s="81" t="str">
        <x:v>31a323b46dbe6174aa802aa3b12fccf7891299cc</x:v>
      </x:c>
      <x:c r="L16" s="81" t="str">
        <x:v>No copyright attribution required</x:v>
      </x:c>
      <x:c r="M16" s="81" t="str">
        <x:v>No distinct trademark detected in the reviewed image.</x:v>
      </x:c>
      <x:c r="N16" s="82" t="str">
        <x:v>Download + decode + visual QA passed</x:v>
      </x:c>
    </x:row>
    <x:row r="17">
      <x:c r="A17" s="80" t="str">
        <x:v>L01</x:v>
      </x:c>
      <x:c r="B17" s="81" t="str">
        <x:v>logo</x:v>
      </x:c>
      <x:c r="C17" s="81" t="str">
        <x:v>P01</x:v>
      </x:c>
      <x:c r="D17" s="81" t="str">
        <x:v>Wikimedia logo</x:v>
      </x:c>
      <x:c r="E17" s="81" t="str">
        <x:v>Neolux; SVG by Zscout370 with modifications by Dbenbenn</x:v>
      </x:c>
      <x:c r="F17" s="81" t="str">
        <x:v>Public domain (copyright-ineligible)</x:v>
      </x:c>
      <x:c r="G17" s="81" t="str">
        <x:v>https://commons.wikimedia.org/wiki/File:Wikimedia-logo.svg</x:v>
      </x:c>
      <x:c r="H17" s="81" t="str">
        <x:v>https://upload.wikimedia.org/wikipedia/commons/thumb/8/81/Wikimedia-logo.svg/1280px-Wikimedia-logo.svg.png</x:v>
      </x:c>
      <x:c r="I17" s="81" t="str">
        <x:v>1280x1280</x:v>
      </x:c>
      <x:c r="J17" s="81" t="str">
        <x:v>image/png</x:v>
      </x:c>
      <x:c r="K17" s="81" t="str">
        <x:v>ab252a8e8bddc41e67d95a868bc71cd027f4cd84</x:v>
      </x:c>
      <x:c r="L17" s="81" t="str">
        <x:v>Copyright attribution not required; trademark rules apply</x:v>
      </x:c>
      <x:c r="M17" s="81" t="str">
        <x:v>Official Wikimedia trademark; local technical evaluation only. Wikimedia trademark policy and visual identity rules still apply.</x:v>
      </x:c>
      <x:c r="N17" s="82" t="str">
        <x:v>Download + decode + visual QA passed</x:v>
      </x:c>
    </x:row>
    <x:row r="18">
      <x:c r="A18" s="80" t="str">
        <x:v>L02</x:v>
      </x:c>
      <x:c r="B18" s="81" t="str">
        <x:v>logo</x:v>
      </x:c>
      <x:c r="C18" s="81" t="str">
        <x:v>P02</x:v>
      </x:c>
      <x:c r="D18" s="81" t="str">
        <x:v>Debian OpenLogo</x:v>
      </x:c>
      <x:c r="E18" s="81" t="str">
        <x:v>Debian / Software in the Public Interest</x:v>
      </x:c>
      <x:c r="F18" s="81" t="str">
        <x:v>Swirl: LGPL-3.0-or-later OR CC BY-SA 3.0; text: public-domain textlogo</x:v>
      </x:c>
      <x:c r="G18" s="81" t="str">
        <x:v>https://commons.wikimedia.org/wiki/File:Debian_logo.png</x:v>
      </x:c>
      <x:c r="H18" s="81" t="str">
        <x:v>https://upload.wikimedia.org/wikipedia/commons/0/04/Debian_logo.png</x:v>
      </x:c>
      <x:c r="I18" s="81" t="str">
        <x:v>300x395</x:v>
      </x:c>
      <x:c r="J18" s="81" t="str">
        <x:v>image/png</x:v>
      </x:c>
      <x:c r="K18" s="81" t="str">
        <x:v>210b58528a1264c7b460a8d9752def59fd4e02df</x:v>
      </x:c>
      <x:c r="L18" s="81" t="str">
        <x:v>Retain chosen free-license notices/attribution</x:v>
      </x:c>
      <x:c r="M18" s="81" t="str">
        <x:v>Debian mark; local technical evaluation only. The whole logo remains subject to trademark restrictions.</x:v>
      </x:c>
      <x:c r="N18" s="82" t="str">
        <x:v>Download + decode + visual QA passed</x:v>
      </x:c>
    </x:row>
    <x:row r="19">
      <x:c r="A19" s="80" t="str">
        <x:v>L03</x:v>
      </x:c>
      <x:c r="B19" s="81" t="str">
        <x:v>logo</x:v>
      </x:c>
      <x:c r="C19" s="81" t="str">
        <x:v>P03</x:v>
      </x:c>
      <x:c r="D19" s="81" t="str">
        <x:v>Python logo and wordmark</x:v>
      </x:c>
      <x:c r="E19" s="81" t="str">
        <x:v>Python Software Foundation</x:v>
      </x:c>
      <x:c r="F19" s="81" t="str">
        <x:v>GPL-2.0-or-later</x:v>
      </x:c>
      <x:c r="G19" s="81" t="str">
        <x:v>https://commons.wikimedia.org/wiki/File:Python_logo_and_wordmark.svg</x:v>
      </x:c>
      <x:c r="H19" s="81" t="str">
        <x:v>https://upload.wikimedia.org/wikipedia/commons/thumb/f/f8/Python_logo_and_wordmark.svg/1280px-Python_logo_and_wordmark.svg.png</x:v>
      </x:c>
      <x:c r="I19" s="81" t="str">
        <x:v>1280x379</x:v>
      </x:c>
      <x:c r="J19" s="81" t="str">
        <x:v>image/png</x:v>
      </x:c>
      <x:c r="K19" s="81" t="str">
        <x:v>3e091f66d58ae7c6134248498923ea3cf28b5b34</x:v>
      </x:c>
      <x:c r="L19" s="81" t="str">
        <x:v>Retain GPL notices and comply with terms</x:v>
      </x:c>
      <x:c r="M19" s="81" t="str">
        <x:v>Python trademark; local technical evaluation only. Python Software Foundation trademark policy applies.</x:v>
      </x:c>
      <x:c r="N19" s="82" t="str">
        <x:v>Download + decode + visual QA passed</x:v>
      </x:c>
    </x:row>
    <x:row r="20">
      <x:c r="A20" s="80" t="str">
        <x:v>L04</x:v>
      </x:c>
      <x:c r="B20" s="81" t="str">
        <x:v>logo</x:v>
      </x:c>
      <x:c r="C20" s="81" t="str">
        <x:v>P04</x:v>
      </x:c>
      <x:c r="D20" s="81" t="str">
        <x:v>Blender logo and wordmark</x:v>
      </x:c>
      <x:c r="E20" s="81" t="str">
        <x:v>Blender Foundation; vectorized by VulcanSphere</x:v>
      </x:c>
      <x:c r="F20" s="81" t="str">
        <x:v>Public domain textlogo</x:v>
      </x:c>
      <x:c r="G20" s="81" t="str">
        <x:v>https://commons.wikimedia.org/wiki/File:Logo_Blender.svg</x:v>
      </x:c>
      <x:c r="H20" s="81" t="str">
        <x:v>https://upload.wikimedia.org/wikipedia/commons/thumb/3/3c/Logo_Blender.svg/1280px-Logo_Blender.svg.png</x:v>
      </x:c>
      <x:c r="I20" s="81" t="str">
        <x:v>1280x344</x:v>
      </x:c>
      <x:c r="J20" s="81" t="str">
        <x:v>image/png</x:v>
      </x:c>
      <x:c r="K20" s="81" t="str">
        <x:v>2acb3e10548fccf3b9f94a89a990335035484458</x:v>
      </x:c>
      <x:c r="L20" s="81" t="str">
        <x:v>Copyright attribution not required; trademark rules apply</x:v>
      </x:c>
      <x:c r="M20" s="81" t="str">
        <x:v>Blender trademark; local technical evaluation only.</x:v>
      </x:c>
      <x:c r="N20" s="82" t="str">
        <x:v>Download + decode + visual QA passed</x:v>
      </x:c>
    </x:row>
    <x:row r="21">
      <x:c r="A21" s="80" t="str">
        <x:v>L05</x:v>
      </x:c>
      <x:c r="B21" s="81" t="str">
        <x:v>logo</x:v>
      </x:c>
      <x:c r="C21" s="81" t="str">
        <x:v>P05</x:v>
      </x:c>
      <x:c r="D21" s="81" t="str">
        <x:v>Git logo and wordmark</x:v>
      </x:c>
      <x:c r="E21" s="81" t="str">
        <x:v>Jason Long</x:v>
      </x:c>
      <x:c r="F21" s="81" t="str">
        <x:v>CC BY 3.0</x:v>
      </x:c>
      <x:c r="G21" s="81" t="str">
        <x:v>https://commons.wikimedia.org/wiki/File:Git-logo.svg</x:v>
      </x:c>
      <x:c r="H21" s="81" t="str">
        <x:v>https://upload.wikimedia.org/wikipedia/commons/thumb/e/e0/Git-logo.svg/1280px-Git-logo.svg.png</x:v>
      </x:c>
      <x:c r="I21" s="81" t="str">
        <x:v>1280x535</x:v>
      </x:c>
      <x:c r="J21" s="81" t="str">
        <x:v>image/png</x:v>
      </x:c>
      <x:c r="K21" s="81" t="str">
        <x:v>fb27ac58bde1e75a464d477102b29efa0d0929ed</x:v>
      </x:c>
      <x:c r="L21" s="81" t="str">
        <x:v>Credit Jason Long under CC BY 3.0</x:v>
      </x:c>
      <x:c r="M21" s="81" t="str">
        <x:v>Git trademark; local technical evaluation only. Attribution to Jason Long is required.</x:v>
      </x:c>
      <x:c r="N21" s="82" t="str">
        <x:v>Download + decode + visual QA passed</x:v>
      </x:c>
    </x:row>
    <x:row r="22">
      <x:c r="A22" s="80" t="str">
        <x:v>L06</x:v>
      </x:c>
      <x:c r="B22" s="81" t="str">
        <x:v>logo</x:v>
      </x:c>
      <x:c r="C22" s="81" t="str">
        <x:v>P06</x:v>
      </x:c>
      <x:c r="D22" s="81" t="str">
        <x:v>Inkscape logo</x:v>
      </x:c>
      <x:c r="E22" s="81" t="str">
        <x:v>Andrew Michael Fitzsimon</x:v>
      </x:c>
      <x:c r="F22" s="81" t="str">
        <x:v>CC BY-SA 3.0 AND/OR GPL-2.0-or-later</x:v>
      </x:c>
      <x:c r="G22" s="81" t="str">
        <x:v>https://commons.wikimedia.org/wiki/File:Inkscape_Logo.svg</x:v>
      </x:c>
      <x:c r="H22" s="81" t="str">
        <x:v>https://upload.wikimedia.org/wikipedia/commons/thumb/0/0d/Inkscape_Logo.svg/1280px-Inkscape_Logo.svg.png</x:v>
      </x:c>
      <x:c r="I22" s="81" t="str">
        <x:v>1280x1280</x:v>
      </x:c>
      <x:c r="J22" s="81" t="str">
        <x:v>image/png</x:v>
      </x:c>
      <x:c r="K22" s="81" t="str">
        <x:v>c14557a989f314a6bc64c4efb0dd92da4d3e9aa2</x:v>
      </x:c>
      <x:c r="L22" s="81" t="str">
        <x:v>Retain chosen CC/GPL attribution and notices</x:v>
      </x:c>
      <x:c r="M22" s="81" t="str">
        <x:v>Inkscape trademark; local technical evaluation only. Attribution/share-alike obligations apply when using the CC license.</x:v>
      </x:c>
      <x:c r="N22" s="82" t="str">
        <x:v>Download + decode + visual QA passed</x:v>
      </x:c>
    </x:row>
    <x:row r="23">
      <x:c r="A23" s="80" t="str">
        <x:v>L07</x:v>
      </x:c>
      <x:c r="B23" s="81" t="str">
        <x:v>logo</x:v>
      </x:c>
      <x:c r="C23" s="81" t="str">
        <x:v>P07</x:v>
      </x:c>
      <x:c r="D23" s="81" t="str">
        <x:v>VLC icon</x:v>
      </x:c>
      <x:c r="E23" s="81" t="str">
        <x:v>Richard C. G. Øiestad / VideoLAN</x:v>
      </x:c>
      <x:c r="F23" s="81" t="str">
        <x:v>GPL-2.0-or-later</x:v>
      </x:c>
      <x:c r="G23" s="81" t="str">
        <x:v>https://commons.wikimedia.org/wiki/File:VLC_icon.png</x:v>
      </x:c>
      <x:c r="H23" s="81" t="str">
        <x:v>https://upload.wikimedia.org/wikipedia/commons/3/38/VLC_icon.png</x:v>
      </x:c>
      <x:c r="I23" s="81" t="str">
        <x:v>256x256</x:v>
      </x:c>
      <x:c r="J23" s="81" t="str">
        <x:v>image/png</x:v>
      </x:c>
      <x:c r="K23" s="81" t="str">
        <x:v>d500c76eed291d2232d6910aa1fada6dbee59c35</x:v>
      </x:c>
      <x:c r="L23" s="81" t="str">
        <x:v>Retain GPL notices and comply with terms</x:v>
      </x:c>
      <x:c r="M23" s="81" t="str">
        <x:v>Treat the VLC identity as a protected mark; local technical evaluation only.</x:v>
      </x:c>
      <x:c r="N23" s="82" t="str">
        <x:v>Download + decode + visual QA passed</x:v>
      </x:c>
    </x:row>
    <x:row r="24">
      <x:c r="A24" s="83" t="str">
        <x:v>L08</x:v>
      </x:c>
      <x:c r="B24" s="84" t="str">
        <x:v>logo</x:v>
      </x:c>
      <x:c r="C24" s="84" t="str">
        <x:v>P08</x:v>
      </x:c>
      <x:c r="D24" s="84" t="str">
        <x:v>Firefox logo (2019)</x:v>
      </x:c>
      <x:c r="E24" s="84" t="str">
        <x:v>Mozilla Corporation</x:v>
      </x:c>
      <x:c r="F24" s="84" t="str">
        <x:v>MPL 2.0</x:v>
      </x:c>
      <x:c r="G24" s="84" t="str">
        <x:v>https://commons.wikimedia.org/wiki/File:Firefox_logo,_2019.svg</x:v>
      </x:c>
      <x:c r="H24" s="84" t="str">
        <x:v>https://upload.wikimedia.org/wikipedia/commons/thumb/a/a0/Firefox_logo%2C_2019.svg/1280px-Firefox_logo%2C_2019.svg.png</x:v>
      </x:c>
      <x:c r="I24" s="84" t="str">
        <x:v>1280x1280</x:v>
      </x:c>
      <x:c r="J24" s="84" t="str">
        <x:v>image/png</x:v>
      </x:c>
      <x:c r="K24" s="84" t="str">
        <x:v>41f653895f6666c275a04707e29e734ac2c8a0bb</x:v>
      </x:c>
      <x:c r="L24" s="84" t="str">
        <x:v>Retain MPL notices and comply with terms</x:v>
      </x:c>
      <x:c r="M24" s="84" t="str">
        <x:v>Firefox trademark; local technical evaluation only. Mozilla trademark rules apply independently of MPL 2.0.</x:v>
      </x:c>
      <x:c r="N24" s="85" t="str">
        <x:v>Download + decode + visual QA passed</x:v>
      </x:c>
    </x:row>
  </x:sheetData>
  <x:mergeCells>
    <x:mergeCell ref="A1:N1"/>
    <x:mergeCell ref="A2:N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6" hidden="0" customWidth="1"/>
    <x:col min="4" max="4" width="16" hidden="0" customWidth="1"/>
    <x:col min="5" max="5" width="25" hidden="0" customWidth="1"/>
    <x:col min="6" max="6" width="17" hidden="0" customWidth="1"/>
    <x:col min="7" max="7" width="17" hidden="0" customWidth="1"/>
    <x:col min="8" max="8" width="17" hidden="0" customWidth="1"/>
    <x:col min="9" max="9" width="46" hidden="0" customWidth="1"/>
    <x:col min="10" max="10" width="12" hidden="0" customWidth="1"/>
  </x:cols>
  <x:sheetData>
    <x:row r="1" ht="34" customHeight="1">
      <x:c r="A1" s="3" t="str">
        <x:v>Rater 1 Blind Score Sheet</x:v>
      </x:c>
      <x:c r="B1" s="3" t="str">
        <x:v>Rater 1 Blind Score Sheet</x:v>
      </x:c>
      <x:c r="C1" s="3" t="str">
        <x:v>Rater 1 Blind Score Sheet</x:v>
      </x:c>
      <x:c r="D1" s="3" t="str">
        <x:v>Rater 1 Blind Score Sheet</x:v>
      </x:c>
      <x:c r="E1" s="3" t="str">
        <x:v>Rater 1 Blind Score Sheet</x:v>
      </x:c>
      <x:c r="F1" s="3" t="str">
        <x:v>Rater 1 Blind Score Sheet</x:v>
      </x:c>
      <x:c r="G1" s="3" t="str">
        <x:v>Rater 1 Blind Score Sheet</x:v>
      </x:c>
      <x:c r="H1" s="3" t="str">
        <x:v>Rater 1 Blind Score Sheet</x:v>
      </x:c>
      <x:c r="I1" s="3" t="str">
        <x:v>Rater 1 Blind Score Sheet</x:v>
      </x:c>
      <x:c r="J1" s="3" t="str">
        <x:v>Rater 1 Blind Score Sheet</x:v>
      </x:c>
    </x:row>
    <x:row r="2" ht="30" customHeight="1">
      <x:c r="A2" s="7" t="str">
        <x:v>Enter scores only after viewing the frozen reference packet. Do not view model or other-rater scores.</x:v>
      </x:c>
      <x:c r="B2" s="7" t="str">
        <x:v>Enter scores only after viewing the frozen reference packet. Do not view model or other-rater scores.</x:v>
      </x:c>
      <x:c r="C2" s="7" t="str">
        <x:v>Enter scores only after viewing the frozen reference packet. Do not view model or other-rater scores.</x:v>
      </x:c>
      <x:c r="D2" s="7" t="str">
        <x:v>Enter scores only after viewing the frozen reference packet. Do not view model or other-rater scores.</x:v>
      </x:c>
      <x:c r="E2" s="7" t="str">
        <x:v>Enter scores only after viewing the frozen reference packet. Do not view model or other-rater scores.</x:v>
      </x:c>
      <x:c r="F2" s="7" t="str">
        <x:v>Enter scores only after viewing the frozen reference packet. Do not view model or other-rater scores.</x:v>
      </x:c>
      <x:c r="G2" s="7" t="str">
        <x:v>Enter scores only after viewing the frozen reference packet. Do not view model or other-rater scores.</x:v>
      </x:c>
      <x:c r="H2" s="7" t="str">
        <x:v>Enter scores only after viewing the frozen reference packet. Do not view model or other-rater scores.</x:v>
      </x:c>
      <x:c r="I2" s="7" t="str">
        <x:v>Enter scores only after viewing the frozen reference packet. Do not view model or other-rater scores.</x:v>
      </x:c>
      <x:c r="J2" s="7" t="str">
        <x:v>Enter scores only after viewing the frozen reference packet. Do not view model or other-rater scores.</x:v>
      </x:c>
    </x:row>
    <x:row r="4" ht="30" customHeight="1">
      <x:c r="A4" s="14" t="str">
        <x:v>sample_id</x:v>
      </x:c>
      <x:c r="B4" s="58" t="str">
        <x:v>display_order</x:v>
      </x:c>
      <x:c r="C4" s="58" t="str">
        <x:v>product_score</x:v>
      </x:c>
      <x:c r="D4" s="58" t="str">
        <x:v>logo_raw_score</x:v>
      </x:c>
      <x:c r="E4" s="58" t="str">
        <x:v>logo_hard_failure_code</x:v>
      </x:c>
      <x:c r="F4" s="58" t="str">
        <x:v>logo_policy_score</x:v>
      </x:c>
      <x:c r="G4" s="58" t="str">
        <x:v>color_score</x:v>
      </x:c>
      <x:c r="H4" s="58" t="str">
        <x:v>overall_score</x:v>
      </x:c>
      <x:c r="I4" s="58" t="str">
        <x:v>visible_evidence_and_notes</x:v>
      </x:c>
      <x:c r="J4" s="15" t="str">
        <x:v>locked</x:v>
      </x:c>
    </x:row>
    <x:row r="5">
      <x:c r="A5" s="23" t="str">
        <x:v>AR-P01-US</x:v>
      </x:c>
      <x:c r="B5" s="65" t="str"/>
      <x:c r="C5" s="86"/>
      <x:c r="D5" s="86"/>
      <x:c r="E5" s="86"/>
      <x:c r="F5" s="87" t="str">
        <x:f>IF('Sample Manifest'!H5="absent","",IF(D5="","",IF(E5="",D5,MIN(D5,59))))</x:f>
      </x:c>
      <x:c r="G5" s="86"/>
      <x:c r="H5" s="87" t="str">
        <x:f>IF('Sample Manifest'!H5="present",IF(COUNT(C5,F5,G5)=3,C5*0.5+F5*0.3+G5*0.2,""),IF(COUNT(C5,G5)=2,(C5*0.5+G5*0.2)/0.7,""))</x:f>
      </x:c>
      <x:c r="I5" s="65"/>
      <x:c r="J5" s="68"/>
    </x:row>
    <x:row r="6">
      <x:c r="A6" s="25" t="str">
        <x:v>AR-P01-DE</x:v>
      </x:c>
      <x:c r="B6" s="66" t="str"/>
      <x:c r="C6" s="88"/>
      <x:c r="D6" s="88"/>
      <x:c r="E6" s="88"/>
      <x:c r="F6" s="89" t="str">
        <x:f>IF('Sample Manifest'!H6="absent","",IF(D6="","",IF(E6="",D6,MIN(D6,59))))</x:f>
      </x:c>
      <x:c r="G6" s="88"/>
      <x:c r="H6" s="89" t="str">
        <x:f>IF('Sample Manifest'!H6="present",IF(COUNT(C6,F6,G6)=3,C6*0.5+F6*0.3+G6*0.2,""),IF(COUNT(C6,G6)=2,(C6*0.5+G6*0.2)/0.7,""))</x:f>
      </x:c>
      <x:c r="I6" s="66"/>
      <x:c r="J6" s="69"/>
    </x:row>
    <x:row r="7">
      <x:c r="A7" s="25" t="str">
        <x:v>AR-P01-JP</x:v>
      </x:c>
      <x:c r="B7" s="66" t="str"/>
      <x:c r="C7" s="88"/>
      <x:c r="D7" s="88"/>
      <x:c r="E7" s="88"/>
      <x:c r="F7" s="89" t="str">
        <x:f>IF('Sample Manifest'!H7="absent","",IF(D7="","",IF(E7="",D7,MIN(D7,59))))</x:f>
      </x:c>
      <x:c r="G7" s="88"/>
      <x:c r="H7" s="89" t="str">
        <x:f>IF('Sample Manifest'!H7="present",IF(COUNT(C7,F7,G7)=3,C7*0.5+F7*0.3+G7*0.2,""),IF(COUNT(C7,G7)=2,(C7*0.5+G7*0.2)/0.7,""))</x:f>
      </x:c>
      <x:c r="I7" s="66"/>
      <x:c r="J7" s="69"/>
    </x:row>
    <x:row r="8">
      <x:c r="A8" s="25" t="str">
        <x:v>AR-P01-KR</x:v>
      </x:c>
      <x:c r="B8" s="66" t="str"/>
      <x:c r="C8" s="88"/>
      <x:c r="D8" s="88"/>
      <x:c r="E8" s="88"/>
      <x:c r="F8" s="89" t="str">
        <x:f>IF('Sample Manifest'!H8="absent","",IF(D8="","",IF(E8="",D8,MIN(D8,59))))</x:f>
      </x:c>
      <x:c r="G8" s="88"/>
      <x:c r="H8" s="89" t="str">
        <x:f>IF('Sample Manifest'!H8="present",IF(COUNT(C8,F8,G8)=3,C8*0.5+F8*0.3+G8*0.2,""),IF(COUNT(C8,G8)=2,(C8*0.5+G8*0.2)/0.7,""))</x:f>
      </x:c>
      <x:c r="I8" s="66"/>
      <x:c r="J8" s="69"/>
    </x:row>
    <x:row r="9">
      <x:c r="A9" s="25" t="str">
        <x:v>AR-P01-AE</x:v>
      </x:c>
      <x:c r="B9" s="66" t="str"/>
      <x:c r="C9" s="88"/>
      <x:c r="D9" s="88"/>
      <x:c r="E9" s="88"/>
      <x:c r="F9" s="89" t="str">
        <x:f>IF('Sample Manifest'!H9="absent","",IF(D9="","",IF(E9="",D9,MIN(D9,59))))</x:f>
      </x:c>
      <x:c r="G9" s="88"/>
      <x:c r="H9" s="89" t="str">
        <x:f>IF('Sample Manifest'!H9="present",IF(COUNT(C9,F9,G9)=3,C9*0.5+F9*0.3+G9*0.2,""),IF(COUNT(C9,G9)=2,(C9*0.5+G9*0.2)/0.7,""))</x:f>
      </x:c>
      <x:c r="I9" s="66"/>
      <x:c r="J9" s="69"/>
    </x:row>
    <x:row r="10">
      <x:c r="A10" s="25" t="str">
        <x:v>AR-P02-US</x:v>
      </x:c>
      <x:c r="B10" s="66" t="str"/>
      <x:c r="C10" s="88"/>
      <x:c r="D10" s="88"/>
      <x:c r="E10" s="88"/>
      <x:c r="F10" s="89" t="str">
        <x:f>IF('Sample Manifest'!H10="absent","",IF(D10="","",IF(E10="",D10,MIN(D10,59))))</x:f>
      </x:c>
      <x:c r="G10" s="88"/>
      <x:c r="H10" s="89" t="str">
        <x:f>IF('Sample Manifest'!H10="present",IF(COUNT(C10,F10,G10)=3,C10*0.5+F10*0.3+G10*0.2,""),IF(COUNT(C10,G10)=2,(C10*0.5+G10*0.2)/0.7,""))</x:f>
      </x:c>
      <x:c r="I10" s="66"/>
      <x:c r="J10" s="69"/>
    </x:row>
    <x:row r="11">
      <x:c r="A11" s="25" t="str">
        <x:v>AR-P02-DE</x:v>
      </x:c>
      <x:c r="B11" s="66" t="str"/>
      <x:c r="C11" s="88"/>
      <x:c r="D11" s="88"/>
      <x:c r="E11" s="88"/>
      <x:c r="F11" s="89" t="str">
        <x:f>IF('Sample Manifest'!H11="absent","",IF(D11="","",IF(E11="",D11,MIN(D11,59))))</x:f>
      </x:c>
      <x:c r="G11" s="88"/>
      <x:c r="H11" s="89" t="str">
        <x:f>IF('Sample Manifest'!H11="present",IF(COUNT(C11,F11,G11)=3,C11*0.5+F11*0.3+G11*0.2,""),IF(COUNT(C11,G11)=2,(C11*0.5+G11*0.2)/0.7,""))</x:f>
      </x:c>
      <x:c r="I11" s="66"/>
      <x:c r="J11" s="69"/>
    </x:row>
    <x:row r="12">
      <x:c r="A12" s="25" t="str">
        <x:v>AR-P02-JP</x:v>
      </x:c>
      <x:c r="B12" s="66" t="str"/>
      <x:c r="C12" s="88"/>
      <x:c r="D12" s="88"/>
      <x:c r="E12" s="88"/>
      <x:c r="F12" s="89" t="str">
        <x:f>IF('Sample Manifest'!H12="absent","",IF(D12="","",IF(E12="",D12,MIN(D12,59))))</x:f>
      </x:c>
      <x:c r="G12" s="88"/>
      <x:c r="H12" s="89" t="str">
        <x:f>IF('Sample Manifest'!H12="present",IF(COUNT(C12,F12,G12)=3,C12*0.5+F12*0.3+G12*0.2,""),IF(COUNT(C12,G12)=2,(C12*0.5+G12*0.2)/0.7,""))</x:f>
      </x:c>
      <x:c r="I12" s="66"/>
      <x:c r="J12" s="69"/>
    </x:row>
    <x:row r="13">
      <x:c r="A13" s="25" t="str">
        <x:v>AR-P02-KR</x:v>
      </x:c>
      <x:c r="B13" s="66" t="str"/>
      <x:c r="C13" s="88"/>
      <x:c r="D13" s="88"/>
      <x:c r="E13" s="88"/>
      <x:c r="F13" s="89" t="str">
        <x:f>IF('Sample Manifest'!H13="absent","",IF(D13="","",IF(E13="",D13,MIN(D13,59))))</x:f>
      </x:c>
      <x:c r="G13" s="88"/>
      <x:c r="H13" s="89" t="str">
        <x:f>IF('Sample Manifest'!H13="present",IF(COUNT(C13,F13,G13)=3,C13*0.5+F13*0.3+G13*0.2,""),IF(COUNT(C13,G13)=2,(C13*0.5+G13*0.2)/0.7,""))</x:f>
      </x:c>
      <x:c r="I13" s="66"/>
      <x:c r="J13" s="69"/>
    </x:row>
    <x:row r="14">
      <x:c r="A14" s="25" t="str">
        <x:v>AR-P02-AE</x:v>
      </x:c>
      <x:c r="B14" s="66" t="str"/>
      <x:c r="C14" s="88"/>
      <x:c r="D14" s="88"/>
      <x:c r="E14" s="88"/>
      <x:c r="F14" s="89" t="str">
        <x:f>IF('Sample Manifest'!H14="absent","",IF(D14="","",IF(E14="",D14,MIN(D14,59))))</x:f>
      </x:c>
      <x:c r="G14" s="88"/>
      <x:c r="H14" s="89" t="str">
        <x:f>IF('Sample Manifest'!H14="present",IF(COUNT(C14,F14,G14)=3,C14*0.5+F14*0.3+G14*0.2,""),IF(COUNT(C14,G14)=2,(C14*0.5+G14*0.2)/0.7,""))</x:f>
      </x:c>
      <x:c r="I14" s="66"/>
      <x:c r="J14" s="69"/>
    </x:row>
    <x:row r="15">
      <x:c r="A15" s="25" t="str">
        <x:v>AR-P03-US</x:v>
      </x:c>
      <x:c r="B15" s="66" t="str"/>
      <x:c r="C15" s="88"/>
      <x:c r="D15" s="88"/>
      <x:c r="E15" s="88"/>
      <x:c r="F15" s="89" t="str">
        <x:f>IF('Sample Manifest'!H15="absent","",IF(D15="","",IF(E15="",D15,MIN(D15,59))))</x:f>
      </x:c>
      <x:c r="G15" s="88"/>
      <x:c r="H15" s="89" t="str">
        <x:f>IF('Sample Manifest'!H15="present",IF(COUNT(C15,F15,G15)=3,C15*0.5+F15*0.3+G15*0.2,""),IF(COUNT(C15,G15)=2,(C15*0.5+G15*0.2)/0.7,""))</x:f>
      </x:c>
      <x:c r="I15" s="66"/>
      <x:c r="J15" s="69"/>
    </x:row>
    <x:row r="16">
      <x:c r="A16" s="25" t="str">
        <x:v>AR-P03-DE</x:v>
      </x:c>
      <x:c r="B16" s="66" t="str"/>
      <x:c r="C16" s="88"/>
      <x:c r="D16" s="88"/>
      <x:c r="E16" s="88"/>
      <x:c r="F16" s="89" t="str">
        <x:f>IF('Sample Manifest'!H16="absent","",IF(D16="","",IF(E16="",D16,MIN(D16,59))))</x:f>
      </x:c>
      <x:c r="G16" s="88"/>
      <x:c r="H16" s="89" t="str">
        <x:f>IF('Sample Manifest'!H16="present",IF(COUNT(C16,F16,G16)=3,C16*0.5+F16*0.3+G16*0.2,""),IF(COUNT(C16,G16)=2,(C16*0.5+G16*0.2)/0.7,""))</x:f>
      </x:c>
      <x:c r="I16" s="66"/>
      <x:c r="J16" s="69"/>
    </x:row>
    <x:row r="17">
      <x:c r="A17" s="25" t="str">
        <x:v>AR-P03-JP</x:v>
      </x:c>
      <x:c r="B17" s="66" t="str"/>
      <x:c r="C17" s="88"/>
      <x:c r="D17" s="88"/>
      <x:c r="E17" s="88"/>
      <x:c r="F17" s="89" t="str">
        <x:f>IF('Sample Manifest'!H17="absent","",IF(D17="","",IF(E17="",D17,MIN(D17,59))))</x:f>
      </x:c>
      <x:c r="G17" s="88"/>
      <x:c r="H17" s="89" t="str">
        <x:f>IF('Sample Manifest'!H17="present",IF(COUNT(C17,F17,G17)=3,C17*0.5+F17*0.3+G17*0.2,""),IF(COUNT(C17,G17)=2,(C17*0.5+G17*0.2)/0.7,""))</x:f>
      </x:c>
      <x:c r="I17" s="66"/>
      <x:c r="J17" s="69"/>
    </x:row>
    <x:row r="18">
      <x:c r="A18" s="25" t="str">
        <x:v>AR-P03-KR</x:v>
      </x:c>
      <x:c r="B18" s="66" t="str"/>
      <x:c r="C18" s="88"/>
      <x:c r="D18" s="88"/>
      <x:c r="E18" s="88"/>
      <x:c r="F18" s="89" t="str">
        <x:f>IF('Sample Manifest'!H18="absent","",IF(D18="","",IF(E18="",D18,MIN(D18,59))))</x:f>
      </x:c>
      <x:c r="G18" s="88"/>
      <x:c r="H18" s="89" t="str">
        <x:f>IF('Sample Manifest'!H18="present",IF(COUNT(C18,F18,G18)=3,C18*0.5+F18*0.3+G18*0.2,""),IF(COUNT(C18,G18)=2,(C18*0.5+G18*0.2)/0.7,""))</x:f>
      </x:c>
      <x:c r="I18" s="66"/>
      <x:c r="J18" s="69"/>
    </x:row>
    <x:row r="19">
      <x:c r="A19" s="25" t="str">
        <x:v>AR-P03-AE</x:v>
      </x:c>
      <x:c r="B19" s="66" t="str"/>
      <x:c r="C19" s="88"/>
      <x:c r="D19" s="88"/>
      <x:c r="E19" s="88"/>
      <x:c r="F19" s="89" t="str">
        <x:f>IF('Sample Manifest'!H19="absent","",IF(D19="","",IF(E19="",D19,MIN(D19,59))))</x:f>
      </x:c>
      <x:c r="G19" s="88"/>
      <x:c r="H19" s="89" t="str">
        <x:f>IF('Sample Manifest'!H19="present",IF(COUNT(C19,F19,G19)=3,C19*0.5+F19*0.3+G19*0.2,""),IF(COUNT(C19,G19)=2,(C19*0.5+G19*0.2)/0.7,""))</x:f>
      </x:c>
      <x:c r="I19" s="66"/>
      <x:c r="J19" s="69"/>
    </x:row>
    <x:row r="20">
      <x:c r="A20" s="25" t="str">
        <x:v>AR-P04-US</x:v>
      </x:c>
      <x:c r="B20" s="66" t="str"/>
      <x:c r="C20" s="88"/>
      <x:c r="D20" s="88"/>
      <x:c r="E20" s="88"/>
      <x:c r="F20" s="89" t="str">
        <x:f>IF('Sample Manifest'!H20="absent","",IF(D20="","",IF(E20="",D20,MIN(D20,59))))</x:f>
      </x:c>
      <x:c r="G20" s="88"/>
      <x:c r="H20" s="89" t="str">
        <x:f>IF('Sample Manifest'!H20="present",IF(COUNT(C20,F20,G20)=3,C20*0.5+F20*0.3+G20*0.2,""),IF(COUNT(C20,G20)=2,(C20*0.5+G20*0.2)/0.7,""))</x:f>
      </x:c>
      <x:c r="I20" s="66"/>
      <x:c r="J20" s="69"/>
    </x:row>
    <x:row r="21">
      <x:c r="A21" s="25" t="str">
        <x:v>AR-P04-DE</x:v>
      </x:c>
      <x:c r="B21" s="66" t="str"/>
      <x:c r="C21" s="88"/>
      <x:c r="D21" s="88"/>
      <x:c r="E21" s="88"/>
      <x:c r="F21" s="89" t="str">
        <x:f>IF('Sample Manifest'!H21="absent","",IF(D21="","",IF(E21="",D21,MIN(D21,59))))</x:f>
      </x:c>
      <x:c r="G21" s="88"/>
      <x:c r="H21" s="89" t="str">
        <x:f>IF('Sample Manifest'!H21="present",IF(COUNT(C21,F21,G21)=3,C21*0.5+F21*0.3+G21*0.2,""),IF(COUNT(C21,G21)=2,(C21*0.5+G21*0.2)/0.7,""))</x:f>
      </x:c>
      <x:c r="I21" s="66"/>
      <x:c r="J21" s="69"/>
    </x:row>
    <x:row r="22">
      <x:c r="A22" s="25" t="str">
        <x:v>AR-P04-JP</x:v>
      </x:c>
      <x:c r="B22" s="66" t="str"/>
      <x:c r="C22" s="88"/>
      <x:c r="D22" s="88"/>
      <x:c r="E22" s="88"/>
      <x:c r="F22" s="89" t="str">
        <x:f>IF('Sample Manifest'!H22="absent","",IF(D22="","",IF(E22="",D22,MIN(D22,59))))</x:f>
      </x:c>
      <x:c r="G22" s="88"/>
      <x:c r="H22" s="89" t="str">
        <x:f>IF('Sample Manifest'!H22="present",IF(COUNT(C22,F22,G22)=3,C22*0.5+F22*0.3+G22*0.2,""),IF(COUNT(C22,G22)=2,(C22*0.5+G22*0.2)/0.7,""))</x:f>
      </x:c>
      <x:c r="I22" s="66"/>
      <x:c r="J22" s="69"/>
    </x:row>
    <x:row r="23">
      <x:c r="A23" s="25" t="str">
        <x:v>AR-P04-KR</x:v>
      </x:c>
      <x:c r="B23" s="66" t="str"/>
      <x:c r="C23" s="88"/>
      <x:c r="D23" s="88"/>
      <x:c r="E23" s="88"/>
      <x:c r="F23" s="89" t="str">
        <x:f>IF('Sample Manifest'!H23="absent","",IF(D23="","",IF(E23="",D23,MIN(D23,59))))</x:f>
      </x:c>
      <x:c r="G23" s="88"/>
      <x:c r="H23" s="89" t="str">
        <x:f>IF('Sample Manifest'!H23="present",IF(COUNT(C23,F23,G23)=3,C23*0.5+F23*0.3+G23*0.2,""),IF(COUNT(C23,G23)=2,(C23*0.5+G23*0.2)/0.7,""))</x:f>
      </x:c>
      <x:c r="I23" s="66"/>
      <x:c r="J23" s="69"/>
    </x:row>
    <x:row r="24">
      <x:c r="A24" s="25" t="str">
        <x:v>AR-P04-AE</x:v>
      </x:c>
      <x:c r="B24" s="66" t="str"/>
      <x:c r="C24" s="88"/>
      <x:c r="D24" s="88"/>
      <x:c r="E24" s="88"/>
      <x:c r="F24" s="89" t="str">
        <x:f>IF('Sample Manifest'!H24="absent","",IF(D24="","",IF(E24="",D24,MIN(D24,59))))</x:f>
      </x:c>
      <x:c r="G24" s="88"/>
      <x:c r="H24" s="89" t="str">
        <x:f>IF('Sample Manifest'!H24="present",IF(COUNT(C24,F24,G24)=3,C24*0.5+F24*0.3+G24*0.2,""),IF(COUNT(C24,G24)=2,(C24*0.5+G24*0.2)/0.7,""))</x:f>
      </x:c>
      <x:c r="I24" s="66"/>
      <x:c r="J24" s="69"/>
    </x:row>
    <x:row r="25">
      <x:c r="A25" s="25" t="str">
        <x:v>AR-P05-US</x:v>
      </x:c>
      <x:c r="B25" s="66" t="str"/>
      <x:c r="C25" s="88"/>
      <x:c r="D25" s="88"/>
      <x:c r="E25" s="88"/>
      <x:c r="F25" s="89" t="str">
        <x:f>IF('Sample Manifest'!H25="absent","",IF(D25="","",IF(E25="",D25,MIN(D25,59))))</x:f>
      </x:c>
      <x:c r="G25" s="88"/>
      <x:c r="H25" s="89" t="str">
        <x:f>IF('Sample Manifest'!H25="present",IF(COUNT(C25,F25,G25)=3,C25*0.5+F25*0.3+G25*0.2,""),IF(COUNT(C25,G25)=2,(C25*0.5+G25*0.2)/0.7,""))</x:f>
      </x:c>
      <x:c r="I25" s="66"/>
      <x:c r="J25" s="69"/>
    </x:row>
    <x:row r="26">
      <x:c r="A26" s="25" t="str">
        <x:v>AR-P05-DE</x:v>
      </x:c>
      <x:c r="B26" s="66" t="str"/>
      <x:c r="C26" s="88"/>
      <x:c r="D26" s="88"/>
      <x:c r="E26" s="88"/>
      <x:c r="F26" s="89" t="str">
        <x:f>IF('Sample Manifest'!H26="absent","",IF(D26="","",IF(E26="",D26,MIN(D26,59))))</x:f>
      </x:c>
      <x:c r="G26" s="88"/>
      <x:c r="H26" s="89" t="str">
        <x:f>IF('Sample Manifest'!H26="present",IF(COUNT(C26,F26,G26)=3,C26*0.5+F26*0.3+G26*0.2,""),IF(COUNT(C26,G26)=2,(C26*0.5+G26*0.2)/0.7,""))</x:f>
      </x:c>
      <x:c r="I26" s="66"/>
      <x:c r="J26" s="69"/>
    </x:row>
    <x:row r="27">
      <x:c r="A27" s="25" t="str">
        <x:v>AR-P05-JP</x:v>
      </x:c>
      <x:c r="B27" s="66" t="str"/>
      <x:c r="C27" s="88"/>
      <x:c r="D27" s="88"/>
      <x:c r="E27" s="88"/>
      <x:c r="F27" s="89" t="str">
        <x:f>IF('Sample Manifest'!H27="absent","",IF(D27="","",IF(E27="",D27,MIN(D27,59))))</x:f>
      </x:c>
      <x:c r="G27" s="88"/>
      <x:c r="H27" s="89" t="str">
        <x:f>IF('Sample Manifest'!H27="present",IF(COUNT(C27,F27,G27)=3,C27*0.5+F27*0.3+G27*0.2,""),IF(COUNT(C27,G27)=2,(C27*0.5+G27*0.2)/0.7,""))</x:f>
      </x:c>
      <x:c r="I27" s="66"/>
      <x:c r="J27" s="69"/>
    </x:row>
    <x:row r="28">
      <x:c r="A28" s="25" t="str">
        <x:v>AR-P05-KR</x:v>
      </x:c>
      <x:c r="B28" s="66" t="str"/>
      <x:c r="C28" s="88"/>
      <x:c r="D28" s="88"/>
      <x:c r="E28" s="88"/>
      <x:c r="F28" s="89" t="str">
        <x:f>IF('Sample Manifest'!H28="absent","",IF(D28="","",IF(E28="",D28,MIN(D28,59))))</x:f>
      </x:c>
      <x:c r="G28" s="88"/>
      <x:c r="H28" s="89" t="str">
        <x:f>IF('Sample Manifest'!H28="present",IF(COUNT(C28,F28,G28)=3,C28*0.5+F28*0.3+G28*0.2,""),IF(COUNT(C28,G28)=2,(C28*0.5+G28*0.2)/0.7,""))</x:f>
      </x:c>
      <x:c r="I28" s="66"/>
      <x:c r="J28" s="69"/>
    </x:row>
    <x:row r="29">
      <x:c r="A29" s="25" t="str">
        <x:v>AR-P05-AE</x:v>
      </x:c>
      <x:c r="B29" s="66" t="str"/>
      <x:c r="C29" s="88"/>
      <x:c r="D29" s="88"/>
      <x:c r="E29" s="88"/>
      <x:c r="F29" s="89" t="str">
        <x:f>IF('Sample Manifest'!H29="absent","",IF(D29="","",IF(E29="",D29,MIN(D29,59))))</x:f>
      </x:c>
      <x:c r="G29" s="88"/>
      <x:c r="H29" s="89" t="str">
        <x:f>IF('Sample Manifest'!H29="present",IF(COUNT(C29,F29,G29)=3,C29*0.5+F29*0.3+G29*0.2,""),IF(COUNT(C29,G29)=2,(C29*0.5+G29*0.2)/0.7,""))</x:f>
      </x:c>
      <x:c r="I29" s="66"/>
      <x:c r="J29" s="69"/>
    </x:row>
    <x:row r="30">
      <x:c r="A30" s="25" t="str">
        <x:v>AR-P06-US</x:v>
      </x:c>
      <x:c r="B30" s="66" t="str"/>
      <x:c r="C30" s="88"/>
      <x:c r="D30" s="88"/>
      <x:c r="E30" s="88"/>
      <x:c r="F30" s="89" t="str">
        <x:f>IF('Sample Manifest'!H30="absent","",IF(D30="","",IF(E30="",D30,MIN(D30,59))))</x:f>
      </x:c>
      <x:c r="G30" s="88"/>
      <x:c r="H30" s="89" t="str">
        <x:f>IF('Sample Manifest'!H30="present",IF(COUNT(C30,F30,G30)=3,C30*0.5+F30*0.3+G30*0.2,""),IF(COUNT(C30,G30)=2,(C30*0.5+G30*0.2)/0.7,""))</x:f>
      </x:c>
      <x:c r="I30" s="66"/>
      <x:c r="J30" s="69"/>
    </x:row>
    <x:row r="31">
      <x:c r="A31" s="25" t="str">
        <x:v>AR-P06-DE</x:v>
      </x:c>
      <x:c r="B31" s="66" t="str"/>
      <x:c r="C31" s="88"/>
      <x:c r="D31" s="88"/>
      <x:c r="E31" s="88"/>
      <x:c r="F31" s="89" t="str">
        <x:f>IF('Sample Manifest'!H31="absent","",IF(D31="","",IF(E31="",D31,MIN(D31,59))))</x:f>
      </x:c>
      <x:c r="G31" s="88"/>
      <x:c r="H31" s="89" t="str">
        <x:f>IF('Sample Manifest'!H31="present",IF(COUNT(C31,F31,G31)=3,C31*0.5+F31*0.3+G31*0.2,""),IF(COUNT(C31,G31)=2,(C31*0.5+G31*0.2)/0.7,""))</x:f>
      </x:c>
      <x:c r="I31" s="66"/>
      <x:c r="J31" s="69"/>
    </x:row>
    <x:row r="32">
      <x:c r="A32" s="25" t="str">
        <x:v>AR-P06-JP</x:v>
      </x:c>
      <x:c r="B32" s="66" t="str"/>
      <x:c r="C32" s="88"/>
      <x:c r="D32" s="88"/>
      <x:c r="E32" s="88"/>
      <x:c r="F32" s="89" t="str">
        <x:f>IF('Sample Manifest'!H32="absent","",IF(D32="","",IF(E32="",D32,MIN(D32,59))))</x:f>
      </x:c>
      <x:c r="G32" s="88"/>
      <x:c r="H32" s="89" t="str">
        <x:f>IF('Sample Manifest'!H32="present",IF(COUNT(C32,F32,G32)=3,C32*0.5+F32*0.3+G32*0.2,""),IF(COUNT(C32,G32)=2,(C32*0.5+G32*0.2)/0.7,""))</x:f>
      </x:c>
      <x:c r="I32" s="66"/>
      <x:c r="J32" s="69"/>
    </x:row>
    <x:row r="33">
      <x:c r="A33" s="25" t="str">
        <x:v>AR-P06-KR</x:v>
      </x:c>
      <x:c r="B33" s="66" t="str"/>
      <x:c r="C33" s="88"/>
      <x:c r="D33" s="88"/>
      <x:c r="E33" s="88"/>
      <x:c r="F33" s="89" t="str">
        <x:f>IF('Sample Manifest'!H33="absent","",IF(D33="","",IF(E33="",D33,MIN(D33,59))))</x:f>
      </x:c>
      <x:c r="G33" s="88"/>
      <x:c r="H33" s="89" t="str">
        <x:f>IF('Sample Manifest'!H33="present",IF(COUNT(C33,F33,G33)=3,C33*0.5+F33*0.3+G33*0.2,""),IF(COUNT(C33,G33)=2,(C33*0.5+G33*0.2)/0.7,""))</x:f>
      </x:c>
      <x:c r="I33" s="66"/>
      <x:c r="J33" s="69"/>
    </x:row>
    <x:row r="34">
      <x:c r="A34" s="25" t="str">
        <x:v>AR-P06-AE</x:v>
      </x:c>
      <x:c r="B34" s="66" t="str"/>
      <x:c r="C34" s="88"/>
      <x:c r="D34" s="88"/>
      <x:c r="E34" s="88"/>
      <x:c r="F34" s="89" t="str">
        <x:f>IF('Sample Manifest'!H34="absent","",IF(D34="","",IF(E34="",D34,MIN(D34,59))))</x:f>
      </x:c>
      <x:c r="G34" s="88"/>
      <x:c r="H34" s="89" t="str">
        <x:f>IF('Sample Manifest'!H34="present",IF(COUNT(C34,F34,G34)=3,C34*0.5+F34*0.3+G34*0.2,""),IF(COUNT(C34,G34)=2,(C34*0.5+G34*0.2)/0.7,""))</x:f>
      </x:c>
      <x:c r="I34" s="66"/>
      <x:c r="J34" s="69"/>
    </x:row>
    <x:row r="35">
      <x:c r="A35" s="25" t="str">
        <x:v>AR-P07-US</x:v>
      </x:c>
      <x:c r="B35" s="66" t="str"/>
      <x:c r="C35" s="88"/>
      <x:c r="D35" s="88"/>
      <x:c r="E35" s="88"/>
      <x:c r="F35" s="89" t="str">
        <x:f>IF('Sample Manifest'!H35="absent","",IF(D35="","",IF(E35="",D35,MIN(D35,59))))</x:f>
      </x:c>
      <x:c r="G35" s="88"/>
      <x:c r="H35" s="89" t="str">
        <x:f>IF('Sample Manifest'!H35="present",IF(COUNT(C35,F35,G35)=3,C35*0.5+F35*0.3+G35*0.2,""),IF(COUNT(C35,G35)=2,(C35*0.5+G35*0.2)/0.7,""))</x:f>
      </x:c>
      <x:c r="I35" s="66"/>
      <x:c r="J35" s="69"/>
    </x:row>
    <x:row r="36">
      <x:c r="A36" s="25" t="str">
        <x:v>AR-P07-DE</x:v>
      </x:c>
      <x:c r="B36" s="66" t="str"/>
      <x:c r="C36" s="88"/>
      <x:c r="D36" s="88"/>
      <x:c r="E36" s="88"/>
      <x:c r="F36" s="89" t="str">
        <x:f>IF('Sample Manifest'!H36="absent","",IF(D36="","",IF(E36="",D36,MIN(D36,59))))</x:f>
      </x:c>
      <x:c r="G36" s="88"/>
      <x:c r="H36" s="89" t="str">
        <x:f>IF('Sample Manifest'!H36="present",IF(COUNT(C36,F36,G36)=3,C36*0.5+F36*0.3+G36*0.2,""),IF(COUNT(C36,G36)=2,(C36*0.5+G36*0.2)/0.7,""))</x:f>
      </x:c>
      <x:c r="I36" s="66"/>
      <x:c r="J36" s="69"/>
    </x:row>
    <x:row r="37">
      <x:c r="A37" s="25" t="str">
        <x:v>AR-P07-JP</x:v>
      </x:c>
      <x:c r="B37" s="66" t="str"/>
      <x:c r="C37" s="88"/>
      <x:c r="D37" s="88"/>
      <x:c r="E37" s="88"/>
      <x:c r="F37" s="89" t="str">
        <x:f>IF('Sample Manifest'!H37="absent","",IF(D37="","",IF(E37="",D37,MIN(D37,59))))</x:f>
      </x:c>
      <x:c r="G37" s="88"/>
      <x:c r="H37" s="89" t="str">
        <x:f>IF('Sample Manifest'!H37="present",IF(COUNT(C37,F37,G37)=3,C37*0.5+F37*0.3+G37*0.2,""),IF(COUNT(C37,G37)=2,(C37*0.5+G37*0.2)/0.7,""))</x:f>
      </x:c>
      <x:c r="I37" s="66"/>
      <x:c r="J37" s="69"/>
    </x:row>
    <x:row r="38">
      <x:c r="A38" s="25" t="str">
        <x:v>AR-P07-KR</x:v>
      </x:c>
      <x:c r="B38" s="66" t="str"/>
      <x:c r="C38" s="88"/>
      <x:c r="D38" s="88"/>
      <x:c r="E38" s="88"/>
      <x:c r="F38" s="89" t="str">
        <x:f>IF('Sample Manifest'!H38="absent","",IF(D38="","",IF(E38="",D38,MIN(D38,59))))</x:f>
      </x:c>
      <x:c r="G38" s="88"/>
      <x:c r="H38" s="89" t="str">
        <x:f>IF('Sample Manifest'!H38="present",IF(COUNT(C38,F38,G38)=3,C38*0.5+F38*0.3+G38*0.2,""),IF(COUNT(C38,G38)=2,(C38*0.5+G38*0.2)/0.7,""))</x:f>
      </x:c>
      <x:c r="I38" s="66"/>
      <x:c r="J38" s="69"/>
    </x:row>
    <x:row r="39">
      <x:c r="A39" s="25" t="str">
        <x:v>AR-P07-AE</x:v>
      </x:c>
      <x:c r="B39" s="66" t="str"/>
      <x:c r="C39" s="88"/>
      <x:c r="D39" s="88"/>
      <x:c r="E39" s="88"/>
      <x:c r="F39" s="89" t="str">
        <x:f>IF('Sample Manifest'!H39="absent","",IF(D39="","",IF(E39="",D39,MIN(D39,59))))</x:f>
      </x:c>
      <x:c r="G39" s="88"/>
      <x:c r="H39" s="89" t="str">
        <x:f>IF('Sample Manifest'!H39="present",IF(COUNT(C39,F39,G39)=3,C39*0.5+F39*0.3+G39*0.2,""),IF(COUNT(C39,G39)=2,(C39*0.5+G39*0.2)/0.7,""))</x:f>
      </x:c>
      <x:c r="I39" s="66"/>
      <x:c r="J39" s="69"/>
    </x:row>
    <x:row r="40">
      <x:c r="A40" s="25" t="str">
        <x:v>AR-P08-US</x:v>
      </x:c>
      <x:c r="B40" s="66" t="str"/>
      <x:c r="C40" s="88"/>
      <x:c r="D40" s="88"/>
      <x:c r="E40" s="88"/>
      <x:c r="F40" s="89" t="str">
        <x:f>IF('Sample Manifest'!H40="absent","",IF(D40="","",IF(E40="",D40,MIN(D40,59))))</x:f>
      </x:c>
      <x:c r="G40" s="88"/>
      <x:c r="H40" s="89" t="str">
        <x:f>IF('Sample Manifest'!H40="present",IF(COUNT(C40,F40,G40)=3,C40*0.5+F40*0.3+G40*0.2,""),IF(COUNT(C40,G40)=2,(C40*0.5+G40*0.2)/0.7,""))</x:f>
      </x:c>
      <x:c r="I40" s="66"/>
      <x:c r="J40" s="69"/>
    </x:row>
    <x:row r="41">
      <x:c r="A41" s="25" t="str">
        <x:v>AR-P08-DE</x:v>
      </x:c>
      <x:c r="B41" s="66" t="str"/>
      <x:c r="C41" s="88"/>
      <x:c r="D41" s="88"/>
      <x:c r="E41" s="88"/>
      <x:c r="F41" s="89" t="str">
        <x:f>IF('Sample Manifest'!H41="absent","",IF(D41="","",IF(E41="",D41,MIN(D41,59))))</x:f>
      </x:c>
      <x:c r="G41" s="88"/>
      <x:c r="H41" s="89" t="str">
        <x:f>IF('Sample Manifest'!H41="present",IF(COUNT(C41,F41,G41)=3,C41*0.5+F41*0.3+G41*0.2,""),IF(COUNT(C41,G41)=2,(C41*0.5+G41*0.2)/0.7,""))</x:f>
      </x:c>
      <x:c r="I41" s="66"/>
      <x:c r="J41" s="69"/>
    </x:row>
    <x:row r="42">
      <x:c r="A42" s="25" t="str">
        <x:v>AR-P08-JP</x:v>
      </x:c>
      <x:c r="B42" s="66" t="str"/>
      <x:c r="C42" s="88"/>
      <x:c r="D42" s="88"/>
      <x:c r="E42" s="88"/>
      <x:c r="F42" s="89" t="str">
        <x:f>IF('Sample Manifest'!H42="absent","",IF(D42="","",IF(E42="",D42,MIN(D42,59))))</x:f>
      </x:c>
      <x:c r="G42" s="88"/>
      <x:c r="H42" s="89" t="str">
        <x:f>IF('Sample Manifest'!H42="present",IF(COUNT(C42,F42,G42)=3,C42*0.5+F42*0.3+G42*0.2,""),IF(COUNT(C42,G42)=2,(C42*0.5+G42*0.2)/0.7,""))</x:f>
      </x:c>
      <x:c r="I42" s="66"/>
      <x:c r="J42" s="69"/>
    </x:row>
    <x:row r="43">
      <x:c r="A43" s="25" t="str">
        <x:v>AR-P08-KR</x:v>
      </x:c>
      <x:c r="B43" s="66" t="str"/>
      <x:c r="C43" s="88"/>
      <x:c r="D43" s="88"/>
      <x:c r="E43" s="88"/>
      <x:c r="F43" s="89" t="str">
        <x:f>IF('Sample Manifest'!H43="absent","",IF(D43="","",IF(E43="",D43,MIN(D43,59))))</x:f>
      </x:c>
      <x:c r="G43" s="88"/>
      <x:c r="H43" s="89" t="str">
        <x:f>IF('Sample Manifest'!H43="present",IF(COUNT(C43,F43,G43)=3,C43*0.5+F43*0.3+G43*0.2,""),IF(COUNT(C43,G43)=2,(C43*0.5+G43*0.2)/0.7,""))</x:f>
      </x:c>
      <x:c r="I43" s="66"/>
      <x:c r="J43" s="69"/>
    </x:row>
    <x:row r="44">
      <x:c r="A44" s="25" t="str">
        <x:v>AR-P08-AE</x:v>
      </x:c>
      <x:c r="B44" s="66" t="str"/>
      <x:c r="C44" s="88"/>
      <x:c r="D44" s="88"/>
      <x:c r="E44" s="88"/>
      <x:c r="F44" s="89" t="str">
        <x:f>IF('Sample Manifest'!H44="absent","",IF(D44="","",IF(E44="",D44,MIN(D44,59))))</x:f>
      </x:c>
      <x:c r="G44" s="88"/>
      <x:c r="H44" s="89" t="str">
        <x:f>IF('Sample Manifest'!H44="present",IF(COUNT(C44,F44,G44)=3,C44*0.5+F44*0.3+G44*0.2,""),IF(COUNT(C44,G44)=2,(C44*0.5+G44*0.2)/0.7,""))</x:f>
      </x:c>
      <x:c r="I44" s="66"/>
      <x:c r="J44" s="69"/>
    </x:row>
    <x:row r="45">
      <x:c r="A45" s="25" t="str">
        <x:v>AR-P09-US</x:v>
      </x:c>
      <x:c r="B45" s="66" t="str"/>
      <x:c r="C45" s="88"/>
      <x:c r="D45" s="88"/>
      <x:c r="E45" s="88"/>
      <x:c r="F45" s="89" t="str">
        <x:f>IF('Sample Manifest'!H45="absent","",IF(D45="","",IF(E45="",D45,MIN(D45,59))))</x:f>
      </x:c>
      <x:c r="G45" s="88"/>
      <x:c r="H45" s="89" t="str">
        <x:f>IF('Sample Manifest'!H45="present",IF(COUNT(C45,F45,G45)=3,C45*0.5+F45*0.3+G45*0.2,""),IF(COUNT(C45,G45)=2,(C45*0.5+G45*0.2)/0.7,""))</x:f>
      </x:c>
      <x:c r="I45" s="66"/>
      <x:c r="J45" s="69"/>
    </x:row>
    <x:row r="46">
      <x:c r="A46" s="25" t="str">
        <x:v>AR-P09-DE</x:v>
      </x:c>
      <x:c r="B46" s="66" t="str"/>
      <x:c r="C46" s="88"/>
      <x:c r="D46" s="88"/>
      <x:c r="E46" s="88"/>
      <x:c r="F46" s="89" t="str">
        <x:f>IF('Sample Manifest'!H46="absent","",IF(D46="","",IF(E46="",D46,MIN(D46,59))))</x:f>
      </x:c>
      <x:c r="G46" s="88"/>
      <x:c r="H46" s="89" t="str">
        <x:f>IF('Sample Manifest'!H46="present",IF(COUNT(C46,F46,G46)=3,C46*0.5+F46*0.3+G46*0.2,""),IF(COUNT(C46,G46)=2,(C46*0.5+G46*0.2)/0.7,""))</x:f>
      </x:c>
      <x:c r="I46" s="66"/>
      <x:c r="J46" s="69"/>
    </x:row>
    <x:row r="47">
      <x:c r="A47" s="25" t="str">
        <x:v>AR-P09-JP</x:v>
      </x:c>
      <x:c r="B47" s="66" t="str"/>
      <x:c r="C47" s="88"/>
      <x:c r="D47" s="88"/>
      <x:c r="E47" s="88"/>
      <x:c r="F47" s="89" t="str">
        <x:f>IF('Sample Manifest'!H47="absent","",IF(D47="","",IF(E47="",D47,MIN(D47,59))))</x:f>
      </x:c>
      <x:c r="G47" s="88"/>
      <x:c r="H47" s="89" t="str">
        <x:f>IF('Sample Manifest'!H47="present",IF(COUNT(C47,F47,G47)=3,C47*0.5+F47*0.3+G47*0.2,""),IF(COUNT(C47,G47)=2,(C47*0.5+G47*0.2)/0.7,""))</x:f>
      </x:c>
      <x:c r="I47" s="66"/>
      <x:c r="J47" s="69"/>
    </x:row>
    <x:row r="48">
      <x:c r="A48" s="25" t="str">
        <x:v>AR-P09-KR</x:v>
      </x:c>
      <x:c r="B48" s="66" t="str"/>
      <x:c r="C48" s="88"/>
      <x:c r="D48" s="88"/>
      <x:c r="E48" s="88"/>
      <x:c r="F48" s="89" t="str">
        <x:f>IF('Sample Manifest'!H48="absent","",IF(D48="","",IF(E48="",D48,MIN(D48,59))))</x:f>
      </x:c>
      <x:c r="G48" s="88"/>
      <x:c r="H48" s="89" t="str">
        <x:f>IF('Sample Manifest'!H48="present",IF(COUNT(C48,F48,G48)=3,C48*0.5+F48*0.3+G48*0.2,""),IF(COUNT(C48,G48)=2,(C48*0.5+G48*0.2)/0.7,""))</x:f>
      </x:c>
      <x:c r="I48" s="66"/>
      <x:c r="J48" s="69"/>
    </x:row>
    <x:row r="49">
      <x:c r="A49" s="25" t="str">
        <x:v>AR-P09-AE</x:v>
      </x:c>
      <x:c r="B49" s="66" t="str"/>
      <x:c r="C49" s="88"/>
      <x:c r="D49" s="88"/>
      <x:c r="E49" s="88"/>
      <x:c r="F49" s="89" t="str">
        <x:f>IF('Sample Manifest'!H49="absent","",IF(D49="","",IF(E49="",D49,MIN(D49,59))))</x:f>
      </x:c>
      <x:c r="G49" s="88"/>
      <x:c r="H49" s="89" t="str">
        <x:f>IF('Sample Manifest'!H49="present",IF(COUNT(C49,F49,G49)=3,C49*0.5+F49*0.3+G49*0.2,""),IF(COUNT(C49,G49)=2,(C49*0.5+G49*0.2)/0.7,""))</x:f>
      </x:c>
      <x:c r="I49" s="66"/>
      <x:c r="J49" s="69"/>
    </x:row>
    <x:row r="50">
      <x:c r="A50" s="25" t="str">
        <x:v>AR-P10-US</x:v>
      </x:c>
      <x:c r="B50" s="66" t="str"/>
      <x:c r="C50" s="88"/>
      <x:c r="D50" s="88"/>
      <x:c r="E50" s="88"/>
      <x:c r="F50" s="89" t="str">
        <x:f>IF('Sample Manifest'!H50="absent","",IF(D50="","",IF(E50="",D50,MIN(D50,59))))</x:f>
      </x:c>
      <x:c r="G50" s="88"/>
      <x:c r="H50" s="89" t="str">
        <x:f>IF('Sample Manifest'!H50="present",IF(COUNT(C50,F50,G50)=3,C50*0.5+F50*0.3+G50*0.2,""),IF(COUNT(C50,G50)=2,(C50*0.5+G50*0.2)/0.7,""))</x:f>
      </x:c>
      <x:c r="I50" s="66"/>
      <x:c r="J50" s="69"/>
    </x:row>
    <x:row r="51">
      <x:c r="A51" s="25" t="str">
        <x:v>AR-P10-DE</x:v>
      </x:c>
      <x:c r="B51" s="66" t="str"/>
      <x:c r="C51" s="88"/>
      <x:c r="D51" s="88"/>
      <x:c r="E51" s="88"/>
      <x:c r="F51" s="89" t="str">
        <x:f>IF('Sample Manifest'!H51="absent","",IF(D51="","",IF(E51="",D51,MIN(D51,59))))</x:f>
      </x:c>
      <x:c r="G51" s="88"/>
      <x:c r="H51" s="89" t="str">
        <x:f>IF('Sample Manifest'!H51="present",IF(COUNT(C51,F51,G51)=3,C51*0.5+F51*0.3+G51*0.2,""),IF(COUNT(C51,G51)=2,(C51*0.5+G51*0.2)/0.7,""))</x:f>
      </x:c>
      <x:c r="I51" s="66"/>
      <x:c r="J51" s="69"/>
    </x:row>
    <x:row r="52">
      <x:c r="A52" s="25" t="str">
        <x:v>AR-P10-JP</x:v>
      </x:c>
      <x:c r="B52" s="66" t="str"/>
      <x:c r="C52" s="88"/>
      <x:c r="D52" s="88"/>
      <x:c r="E52" s="88"/>
      <x:c r="F52" s="89" t="str">
        <x:f>IF('Sample Manifest'!H52="absent","",IF(D52="","",IF(E52="",D52,MIN(D52,59))))</x:f>
      </x:c>
      <x:c r="G52" s="88"/>
      <x:c r="H52" s="89" t="str">
        <x:f>IF('Sample Manifest'!H52="present",IF(COUNT(C52,F52,G52)=3,C52*0.5+F52*0.3+G52*0.2,""),IF(COUNT(C52,G52)=2,(C52*0.5+G52*0.2)/0.7,""))</x:f>
      </x:c>
      <x:c r="I52" s="66"/>
      <x:c r="J52" s="69"/>
    </x:row>
    <x:row r="53">
      <x:c r="A53" s="25" t="str">
        <x:v>AR-P10-KR</x:v>
      </x:c>
      <x:c r="B53" s="66" t="str"/>
      <x:c r="C53" s="88"/>
      <x:c r="D53" s="88"/>
      <x:c r="E53" s="88"/>
      <x:c r="F53" s="89" t="str">
        <x:f>IF('Sample Manifest'!H53="absent","",IF(D53="","",IF(E53="",D53,MIN(D53,59))))</x:f>
      </x:c>
      <x:c r="G53" s="88"/>
      <x:c r="H53" s="89" t="str">
        <x:f>IF('Sample Manifest'!H53="present",IF(COUNT(C53,F53,G53)=3,C53*0.5+F53*0.3+G53*0.2,""),IF(COUNT(C53,G53)=2,(C53*0.5+G53*0.2)/0.7,""))</x:f>
      </x:c>
      <x:c r="I53" s="66"/>
      <x:c r="J53" s="69"/>
    </x:row>
    <x:row r="54">
      <x:c r="A54" s="25" t="str">
        <x:v>AR-P10-AE</x:v>
      </x:c>
      <x:c r="B54" s="66" t="str"/>
      <x:c r="C54" s="88"/>
      <x:c r="D54" s="88"/>
      <x:c r="E54" s="88"/>
      <x:c r="F54" s="89" t="str">
        <x:f>IF('Sample Manifest'!H54="absent","",IF(D54="","",IF(E54="",D54,MIN(D54,59))))</x:f>
      </x:c>
      <x:c r="G54" s="88"/>
      <x:c r="H54" s="89" t="str">
        <x:f>IF('Sample Manifest'!H54="present",IF(COUNT(C54,F54,G54)=3,C54*0.5+F54*0.3+G54*0.2,""),IF(COUNT(C54,G54)=2,(C54*0.5+G54*0.2)/0.7,""))</x:f>
      </x:c>
      <x:c r="I54" s="66"/>
      <x:c r="J54" s="69"/>
    </x:row>
    <x:row r="55">
      <x:c r="A55" s="25" t="str">
        <x:v>AR-P11-US</x:v>
      </x:c>
      <x:c r="B55" s="66" t="str"/>
      <x:c r="C55" s="88"/>
      <x:c r="D55" s="88"/>
      <x:c r="E55" s="88"/>
      <x:c r="F55" s="89" t="str">
        <x:f>IF('Sample Manifest'!H55="absent","",IF(D55="","",IF(E55="",D55,MIN(D55,59))))</x:f>
      </x:c>
      <x:c r="G55" s="88"/>
      <x:c r="H55" s="89" t="str">
        <x:f>IF('Sample Manifest'!H55="present",IF(COUNT(C55,F55,G55)=3,C55*0.5+F55*0.3+G55*0.2,""),IF(COUNT(C55,G55)=2,(C55*0.5+G55*0.2)/0.7,""))</x:f>
      </x:c>
      <x:c r="I55" s="66"/>
      <x:c r="J55" s="69"/>
    </x:row>
    <x:row r="56">
      <x:c r="A56" s="25" t="str">
        <x:v>AR-P11-DE</x:v>
      </x:c>
      <x:c r="B56" s="66" t="str"/>
      <x:c r="C56" s="88"/>
      <x:c r="D56" s="88"/>
      <x:c r="E56" s="88"/>
      <x:c r="F56" s="89" t="str">
        <x:f>IF('Sample Manifest'!H56="absent","",IF(D56="","",IF(E56="",D56,MIN(D56,59))))</x:f>
      </x:c>
      <x:c r="G56" s="88"/>
      <x:c r="H56" s="89" t="str">
        <x:f>IF('Sample Manifest'!H56="present",IF(COUNT(C56,F56,G56)=3,C56*0.5+F56*0.3+G56*0.2,""),IF(COUNT(C56,G56)=2,(C56*0.5+G56*0.2)/0.7,""))</x:f>
      </x:c>
      <x:c r="I56" s="66"/>
      <x:c r="J56" s="69"/>
    </x:row>
    <x:row r="57">
      <x:c r="A57" s="25" t="str">
        <x:v>AR-P11-JP</x:v>
      </x:c>
      <x:c r="B57" s="66" t="str"/>
      <x:c r="C57" s="88"/>
      <x:c r="D57" s="88"/>
      <x:c r="E57" s="88"/>
      <x:c r="F57" s="89" t="str">
        <x:f>IF('Sample Manifest'!H57="absent","",IF(D57="","",IF(E57="",D57,MIN(D57,59))))</x:f>
      </x:c>
      <x:c r="G57" s="88"/>
      <x:c r="H57" s="89" t="str">
        <x:f>IF('Sample Manifest'!H57="present",IF(COUNT(C57,F57,G57)=3,C57*0.5+F57*0.3+G57*0.2,""),IF(COUNT(C57,G57)=2,(C57*0.5+G57*0.2)/0.7,""))</x:f>
      </x:c>
      <x:c r="I57" s="66"/>
      <x:c r="J57" s="69"/>
    </x:row>
    <x:row r="58">
      <x:c r="A58" s="25" t="str">
        <x:v>AR-P11-KR</x:v>
      </x:c>
      <x:c r="B58" s="66" t="str"/>
      <x:c r="C58" s="88"/>
      <x:c r="D58" s="88"/>
      <x:c r="E58" s="88"/>
      <x:c r="F58" s="89" t="str">
        <x:f>IF('Sample Manifest'!H58="absent","",IF(D58="","",IF(E58="",D58,MIN(D58,59))))</x:f>
      </x:c>
      <x:c r="G58" s="88"/>
      <x:c r="H58" s="89" t="str">
        <x:f>IF('Sample Manifest'!H58="present",IF(COUNT(C58,F58,G58)=3,C58*0.5+F58*0.3+G58*0.2,""),IF(COUNT(C58,G58)=2,(C58*0.5+G58*0.2)/0.7,""))</x:f>
      </x:c>
      <x:c r="I58" s="66"/>
      <x:c r="J58" s="69"/>
    </x:row>
    <x:row r="59">
      <x:c r="A59" s="25" t="str">
        <x:v>AR-P11-AE</x:v>
      </x:c>
      <x:c r="B59" s="66" t="str"/>
      <x:c r="C59" s="88"/>
      <x:c r="D59" s="88"/>
      <x:c r="E59" s="88"/>
      <x:c r="F59" s="89" t="str">
        <x:f>IF('Sample Manifest'!H59="absent","",IF(D59="","",IF(E59="",D59,MIN(D59,59))))</x:f>
      </x:c>
      <x:c r="G59" s="88"/>
      <x:c r="H59" s="89" t="str">
        <x:f>IF('Sample Manifest'!H59="present",IF(COUNT(C59,F59,G59)=3,C59*0.5+F59*0.3+G59*0.2,""),IF(COUNT(C59,G59)=2,(C59*0.5+G59*0.2)/0.7,""))</x:f>
      </x:c>
      <x:c r="I59" s="66"/>
      <x:c r="J59" s="69"/>
    </x:row>
    <x:row r="60">
      <x:c r="A60" s="25" t="str">
        <x:v>AR-P12-US</x:v>
      </x:c>
      <x:c r="B60" s="66" t="str"/>
      <x:c r="C60" s="88"/>
      <x:c r="D60" s="88"/>
      <x:c r="E60" s="88"/>
      <x:c r="F60" s="89" t="str">
        <x:f>IF('Sample Manifest'!H60="absent","",IF(D60="","",IF(E60="",D60,MIN(D60,59))))</x:f>
      </x:c>
      <x:c r="G60" s="88"/>
      <x:c r="H60" s="89" t="str">
        <x:f>IF('Sample Manifest'!H60="present",IF(COUNT(C60,F60,G60)=3,C60*0.5+F60*0.3+G60*0.2,""),IF(COUNT(C60,G60)=2,(C60*0.5+G60*0.2)/0.7,""))</x:f>
      </x:c>
      <x:c r="I60" s="66"/>
      <x:c r="J60" s="69"/>
    </x:row>
    <x:row r="61">
      <x:c r="A61" s="25" t="str">
        <x:v>AR-P12-DE</x:v>
      </x:c>
      <x:c r="B61" s="66" t="str"/>
      <x:c r="C61" s="88"/>
      <x:c r="D61" s="88"/>
      <x:c r="E61" s="88"/>
      <x:c r="F61" s="89" t="str">
        <x:f>IF('Sample Manifest'!H61="absent","",IF(D61="","",IF(E61="",D61,MIN(D61,59))))</x:f>
      </x:c>
      <x:c r="G61" s="88"/>
      <x:c r="H61" s="89" t="str">
        <x:f>IF('Sample Manifest'!H61="present",IF(COUNT(C61,F61,G61)=3,C61*0.5+F61*0.3+G61*0.2,""),IF(COUNT(C61,G61)=2,(C61*0.5+G61*0.2)/0.7,""))</x:f>
      </x:c>
      <x:c r="I61" s="66"/>
      <x:c r="J61" s="69"/>
    </x:row>
    <x:row r="62">
      <x:c r="A62" s="25" t="str">
        <x:v>AR-P12-JP</x:v>
      </x:c>
      <x:c r="B62" s="66" t="str"/>
      <x:c r="C62" s="88"/>
      <x:c r="D62" s="88"/>
      <x:c r="E62" s="88"/>
      <x:c r="F62" s="89" t="str">
        <x:f>IF('Sample Manifest'!H62="absent","",IF(D62="","",IF(E62="",D62,MIN(D62,59))))</x:f>
      </x:c>
      <x:c r="G62" s="88"/>
      <x:c r="H62" s="89" t="str">
        <x:f>IF('Sample Manifest'!H62="present",IF(COUNT(C62,F62,G62)=3,C62*0.5+F62*0.3+G62*0.2,""),IF(COUNT(C62,G62)=2,(C62*0.5+G62*0.2)/0.7,""))</x:f>
      </x:c>
      <x:c r="I62" s="66"/>
      <x:c r="J62" s="69"/>
    </x:row>
    <x:row r="63">
      <x:c r="A63" s="25" t="str">
        <x:v>AR-P12-KR</x:v>
      </x:c>
      <x:c r="B63" s="66" t="str"/>
      <x:c r="C63" s="88"/>
      <x:c r="D63" s="88"/>
      <x:c r="E63" s="88"/>
      <x:c r="F63" s="89" t="str">
        <x:f>IF('Sample Manifest'!H63="absent","",IF(D63="","",IF(E63="",D63,MIN(D63,59))))</x:f>
      </x:c>
      <x:c r="G63" s="88"/>
      <x:c r="H63" s="89" t="str">
        <x:f>IF('Sample Manifest'!H63="present",IF(COUNT(C63,F63,G63)=3,C63*0.5+F63*0.3+G63*0.2,""),IF(COUNT(C63,G63)=2,(C63*0.5+G63*0.2)/0.7,""))</x:f>
      </x:c>
      <x:c r="I63" s="66"/>
      <x:c r="J63" s="69"/>
    </x:row>
    <x:row r="64">
      <x:c r="A64" s="27" t="str">
        <x:v>AR-P12-AE</x:v>
      </x:c>
      <x:c r="B64" s="67" t="str"/>
      <x:c r="C64" s="90"/>
      <x:c r="D64" s="90"/>
      <x:c r="E64" s="90"/>
      <x:c r="F64" s="91" t="str">
        <x:f>IF('Sample Manifest'!H64="absent","",IF(D64="","",IF(E64="",D64,MIN(D64,59))))</x:f>
      </x:c>
      <x:c r="G64" s="90"/>
      <x:c r="H64" s="91" t="str">
        <x:f>IF('Sample Manifest'!H64="present",IF(COUNT(C64,F64,G64)=3,C64*0.5+F64*0.3+G64*0.2,""),IF(COUNT(C64,G64)=2,(C64*0.5+G64*0.2)/0.7,""))</x:f>
      </x:c>
      <x:c r="I64" s="67"/>
      <x:c r="J64" s="70"/>
    </x:row>
  </x:sheetData>
  <x:mergeCells>
    <x:mergeCell ref="A1:J1"/>
    <x:mergeCell ref="A2:J2"/>
  </x:mergeCells>
  <x:dataValidations count="4">
    <x:dataValidation type="decimal" operator="between" sqref="C5:D64">
      <x:formula1>0</x:formula1>
      <x:formula2>100</x:formula2>
    </x:dataValidation>
    <x:dataValidation type="decimal" operator="between" sqref="G5:G64">
      <x:formula1>0</x:formula1>
      <x:formula2>100</x:formula2>
    </x:dataValidation>
    <x:dataValidation type="list" sqref="E5:E64">
      <x:formula1>",core_color_changed,mark_structure_changed,brand_wording_changed,reference_mark_missing,invented_brand_mark"</x:formula1>
    </x:dataValidation>
    <x:dataValidation type="list" sqref="J5:J64">
      <x:formula1>"No,Yes"</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6" hidden="0" customWidth="1"/>
    <x:col min="4" max="4" width="16" hidden="0" customWidth="1"/>
    <x:col min="5" max="5" width="25" hidden="0" customWidth="1"/>
    <x:col min="6" max="6" width="17" hidden="0" customWidth="1"/>
    <x:col min="7" max="7" width="17" hidden="0" customWidth="1"/>
    <x:col min="8" max="8" width="17" hidden="0" customWidth="1"/>
    <x:col min="9" max="9" width="46" hidden="0" customWidth="1"/>
    <x:col min="10" max="10" width="12" hidden="0" customWidth="1"/>
  </x:cols>
  <x:sheetData>
    <x:row r="1" ht="34" customHeight="1">
      <x:c r="A1" s="3" t="str">
        <x:v>Rater 2 Blind Score Sheet</x:v>
      </x:c>
      <x:c r="B1" s="3" t="str">
        <x:v>Rater 2 Blind Score Sheet</x:v>
      </x:c>
      <x:c r="C1" s="3" t="str">
        <x:v>Rater 2 Blind Score Sheet</x:v>
      </x:c>
      <x:c r="D1" s="3" t="str">
        <x:v>Rater 2 Blind Score Sheet</x:v>
      </x:c>
      <x:c r="E1" s="3" t="str">
        <x:v>Rater 2 Blind Score Sheet</x:v>
      </x:c>
      <x:c r="F1" s="3" t="str">
        <x:v>Rater 2 Blind Score Sheet</x:v>
      </x:c>
      <x:c r="G1" s="3" t="str">
        <x:v>Rater 2 Blind Score Sheet</x:v>
      </x:c>
      <x:c r="H1" s="3" t="str">
        <x:v>Rater 2 Blind Score Sheet</x:v>
      </x:c>
      <x:c r="I1" s="3" t="str">
        <x:v>Rater 2 Blind Score Sheet</x:v>
      </x:c>
      <x:c r="J1" s="3" t="str">
        <x:v>Rater 2 Blind Score Sheet</x:v>
      </x:c>
    </x:row>
    <x:row r="2" ht="30" customHeight="1">
      <x:c r="A2" s="7" t="str">
        <x:v>Enter scores only after viewing the frozen reference packet. Do not view model or other-rater scores.</x:v>
      </x:c>
      <x:c r="B2" s="7" t="str">
        <x:v>Enter scores only after viewing the frozen reference packet. Do not view model or other-rater scores.</x:v>
      </x:c>
      <x:c r="C2" s="7" t="str">
        <x:v>Enter scores only after viewing the frozen reference packet. Do not view model or other-rater scores.</x:v>
      </x:c>
      <x:c r="D2" s="7" t="str">
        <x:v>Enter scores only after viewing the frozen reference packet. Do not view model or other-rater scores.</x:v>
      </x:c>
      <x:c r="E2" s="7" t="str">
        <x:v>Enter scores only after viewing the frozen reference packet. Do not view model or other-rater scores.</x:v>
      </x:c>
      <x:c r="F2" s="7" t="str">
        <x:v>Enter scores only after viewing the frozen reference packet. Do not view model or other-rater scores.</x:v>
      </x:c>
      <x:c r="G2" s="7" t="str">
        <x:v>Enter scores only after viewing the frozen reference packet. Do not view model or other-rater scores.</x:v>
      </x:c>
      <x:c r="H2" s="7" t="str">
        <x:v>Enter scores only after viewing the frozen reference packet. Do not view model or other-rater scores.</x:v>
      </x:c>
      <x:c r="I2" s="7" t="str">
        <x:v>Enter scores only after viewing the frozen reference packet. Do not view model or other-rater scores.</x:v>
      </x:c>
      <x:c r="J2" s="7" t="str">
        <x:v>Enter scores only after viewing the frozen reference packet. Do not view model or other-rater scores.</x:v>
      </x:c>
    </x:row>
    <x:row r="4" ht="30" customHeight="1">
      <x:c r="A4" s="14" t="str">
        <x:v>sample_id</x:v>
      </x:c>
      <x:c r="B4" s="58" t="str">
        <x:v>display_order</x:v>
      </x:c>
      <x:c r="C4" s="58" t="str">
        <x:v>product_score</x:v>
      </x:c>
      <x:c r="D4" s="58" t="str">
        <x:v>logo_raw_score</x:v>
      </x:c>
      <x:c r="E4" s="58" t="str">
        <x:v>logo_hard_failure_code</x:v>
      </x:c>
      <x:c r="F4" s="58" t="str">
        <x:v>logo_policy_score</x:v>
      </x:c>
      <x:c r="G4" s="58" t="str">
        <x:v>color_score</x:v>
      </x:c>
      <x:c r="H4" s="58" t="str">
        <x:v>overall_score</x:v>
      </x:c>
      <x:c r="I4" s="58" t="str">
        <x:v>visible_evidence_and_notes</x:v>
      </x:c>
      <x:c r="J4" s="15" t="str">
        <x:v>locked</x:v>
      </x:c>
    </x:row>
    <x:row r="5">
      <x:c r="A5" s="23" t="str">
        <x:v>AR-P01-US</x:v>
      </x:c>
      <x:c r="B5" s="65" t="str"/>
      <x:c r="C5" s="86"/>
      <x:c r="D5" s="86"/>
      <x:c r="E5" s="86"/>
      <x:c r="F5" s="87" t="str">
        <x:f>IF('Sample Manifest'!H5="absent","",IF(D5="","",IF(E5="",D5,MIN(D5,59))))</x:f>
      </x:c>
      <x:c r="G5" s="86"/>
      <x:c r="H5" s="87" t="str">
        <x:f>IF('Sample Manifest'!H5="present",IF(COUNT(C5,F5,G5)=3,C5*0.5+F5*0.3+G5*0.2,""),IF(COUNT(C5,G5)=2,(C5*0.5+G5*0.2)/0.7,""))</x:f>
      </x:c>
      <x:c r="I5" s="65"/>
      <x:c r="J5" s="68"/>
    </x:row>
    <x:row r="6">
      <x:c r="A6" s="25" t="str">
        <x:v>AR-P01-DE</x:v>
      </x:c>
      <x:c r="B6" s="66" t="str"/>
      <x:c r="C6" s="88"/>
      <x:c r="D6" s="88"/>
      <x:c r="E6" s="88"/>
      <x:c r="F6" s="89" t="str">
        <x:f>IF('Sample Manifest'!H6="absent","",IF(D6="","",IF(E6="",D6,MIN(D6,59))))</x:f>
      </x:c>
      <x:c r="G6" s="88"/>
      <x:c r="H6" s="89" t="str">
        <x:f>IF('Sample Manifest'!H6="present",IF(COUNT(C6,F6,G6)=3,C6*0.5+F6*0.3+G6*0.2,""),IF(COUNT(C6,G6)=2,(C6*0.5+G6*0.2)/0.7,""))</x:f>
      </x:c>
      <x:c r="I6" s="66"/>
      <x:c r="J6" s="69"/>
    </x:row>
    <x:row r="7">
      <x:c r="A7" s="25" t="str">
        <x:v>AR-P01-JP</x:v>
      </x:c>
      <x:c r="B7" s="66" t="str"/>
      <x:c r="C7" s="88"/>
      <x:c r="D7" s="88"/>
      <x:c r="E7" s="88"/>
      <x:c r="F7" s="89" t="str">
        <x:f>IF('Sample Manifest'!H7="absent","",IF(D7="","",IF(E7="",D7,MIN(D7,59))))</x:f>
      </x:c>
      <x:c r="G7" s="88"/>
      <x:c r="H7" s="89" t="str">
        <x:f>IF('Sample Manifest'!H7="present",IF(COUNT(C7,F7,G7)=3,C7*0.5+F7*0.3+G7*0.2,""),IF(COUNT(C7,G7)=2,(C7*0.5+G7*0.2)/0.7,""))</x:f>
      </x:c>
      <x:c r="I7" s="66"/>
      <x:c r="J7" s="69"/>
    </x:row>
    <x:row r="8">
      <x:c r="A8" s="25" t="str">
        <x:v>AR-P01-KR</x:v>
      </x:c>
      <x:c r="B8" s="66" t="str"/>
      <x:c r="C8" s="88"/>
      <x:c r="D8" s="88"/>
      <x:c r="E8" s="88"/>
      <x:c r="F8" s="89" t="str">
        <x:f>IF('Sample Manifest'!H8="absent","",IF(D8="","",IF(E8="",D8,MIN(D8,59))))</x:f>
      </x:c>
      <x:c r="G8" s="88"/>
      <x:c r="H8" s="89" t="str">
        <x:f>IF('Sample Manifest'!H8="present",IF(COUNT(C8,F8,G8)=3,C8*0.5+F8*0.3+G8*0.2,""),IF(COUNT(C8,G8)=2,(C8*0.5+G8*0.2)/0.7,""))</x:f>
      </x:c>
      <x:c r="I8" s="66"/>
      <x:c r="J8" s="69"/>
    </x:row>
    <x:row r="9">
      <x:c r="A9" s="25" t="str">
        <x:v>AR-P01-AE</x:v>
      </x:c>
      <x:c r="B9" s="66" t="str"/>
      <x:c r="C9" s="88"/>
      <x:c r="D9" s="88"/>
      <x:c r="E9" s="88"/>
      <x:c r="F9" s="89" t="str">
        <x:f>IF('Sample Manifest'!H9="absent","",IF(D9="","",IF(E9="",D9,MIN(D9,59))))</x:f>
      </x:c>
      <x:c r="G9" s="88"/>
      <x:c r="H9" s="89" t="str">
        <x:f>IF('Sample Manifest'!H9="present",IF(COUNT(C9,F9,G9)=3,C9*0.5+F9*0.3+G9*0.2,""),IF(COUNT(C9,G9)=2,(C9*0.5+G9*0.2)/0.7,""))</x:f>
      </x:c>
      <x:c r="I9" s="66"/>
      <x:c r="J9" s="69"/>
    </x:row>
    <x:row r="10">
      <x:c r="A10" s="25" t="str">
        <x:v>AR-P02-US</x:v>
      </x:c>
      <x:c r="B10" s="66" t="str"/>
      <x:c r="C10" s="88"/>
      <x:c r="D10" s="88"/>
      <x:c r="E10" s="88"/>
      <x:c r="F10" s="89" t="str">
        <x:f>IF('Sample Manifest'!H10="absent","",IF(D10="","",IF(E10="",D10,MIN(D10,59))))</x:f>
      </x:c>
      <x:c r="G10" s="88"/>
      <x:c r="H10" s="89" t="str">
        <x:f>IF('Sample Manifest'!H10="present",IF(COUNT(C10,F10,G10)=3,C10*0.5+F10*0.3+G10*0.2,""),IF(COUNT(C10,G10)=2,(C10*0.5+G10*0.2)/0.7,""))</x:f>
      </x:c>
      <x:c r="I10" s="66"/>
      <x:c r="J10" s="69"/>
    </x:row>
    <x:row r="11">
      <x:c r="A11" s="25" t="str">
        <x:v>AR-P02-DE</x:v>
      </x:c>
      <x:c r="B11" s="66" t="str"/>
      <x:c r="C11" s="88"/>
      <x:c r="D11" s="88"/>
      <x:c r="E11" s="88"/>
      <x:c r="F11" s="89" t="str">
        <x:f>IF('Sample Manifest'!H11="absent","",IF(D11="","",IF(E11="",D11,MIN(D11,59))))</x:f>
      </x:c>
      <x:c r="G11" s="88"/>
      <x:c r="H11" s="89" t="str">
        <x:f>IF('Sample Manifest'!H11="present",IF(COUNT(C11,F11,G11)=3,C11*0.5+F11*0.3+G11*0.2,""),IF(COUNT(C11,G11)=2,(C11*0.5+G11*0.2)/0.7,""))</x:f>
      </x:c>
      <x:c r="I11" s="66"/>
      <x:c r="J11" s="69"/>
    </x:row>
    <x:row r="12">
      <x:c r="A12" s="25" t="str">
        <x:v>AR-P02-JP</x:v>
      </x:c>
      <x:c r="B12" s="66" t="str"/>
      <x:c r="C12" s="88"/>
      <x:c r="D12" s="88"/>
      <x:c r="E12" s="88"/>
      <x:c r="F12" s="89" t="str">
        <x:f>IF('Sample Manifest'!H12="absent","",IF(D12="","",IF(E12="",D12,MIN(D12,59))))</x:f>
      </x:c>
      <x:c r="G12" s="88"/>
      <x:c r="H12" s="89" t="str">
        <x:f>IF('Sample Manifest'!H12="present",IF(COUNT(C12,F12,G12)=3,C12*0.5+F12*0.3+G12*0.2,""),IF(COUNT(C12,G12)=2,(C12*0.5+G12*0.2)/0.7,""))</x:f>
      </x:c>
      <x:c r="I12" s="66"/>
      <x:c r="J12" s="69"/>
    </x:row>
    <x:row r="13">
      <x:c r="A13" s="25" t="str">
        <x:v>AR-P02-KR</x:v>
      </x:c>
      <x:c r="B13" s="66" t="str"/>
      <x:c r="C13" s="88"/>
      <x:c r="D13" s="88"/>
      <x:c r="E13" s="88"/>
      <x:c r="F13" s="89" t="str">
        <x:f>IF('Sample Manifest'!H13="absent","",IF(D13="","",IF(E13="",D13,MIN(D13,59))))</x:f>
      </x:c>
      <x:c r="G13" s="88"/>
      <x:c r="H13" s="89" t="str">
        <x:f>IF('Sample Manifest'!H13="present",IF(COUNT(C13,F13,G13)=3,C13*0.5+F13*0.3+G13*0.2,""),IF(COUNT(C13,G13)=2,(C13*0.5+G13*0.2)/0.7,""))</x:f>
      </x:c>
      <x:c r="I13" s="66"/>
      <x:c r="J13" s="69"/>
    </x:row>
    <x:row r="14">
      <x:c r="A14" s="25" t="str">
        <x:v>AR-P02-AE</x:v>
      </x:c>
      <x:c r="B14" s="66" t="str"/>
      <x:c r="C14" s="88"/>
      <x:c r="D14" s="88"/>
      <x:c r="E14" s="88"/>
      <x:c r="F14" s="89" t="str">
        <x:f>IF('Sample Manifest'!H14="absent","",IF(D14="","",IF(E14="",D14,MIN(D14,59))))</x:f>
      </x:c>
      <x:c r="G14" s="88"/>
      <x:c r="H14" s="89" t="str">
        <x:f>IF('Sample Manifest'!H14="present",IF(COUNT(C14,F14,G14)=3,C14*0.5+F14*0.3+G14*0.2,""),IF(COUNT(C14,G14)=2,(C14*0.5+G14*0.2)/0.7,""))</x:f>
      </x:c>
      <x:c r="I14" s="66"/>
      <x:c r="J14" s="69"/>
    </x:row>
    <x:row r="15">
      <x:c r="A15" s="25" t="str">
        <x:v>AR-P03-US</x:v>
      </x:c>
      <x:c r="B15" s="66" t="str"/>
      <x:c r="C15" s="88"/>
      <x:c r="D15" s="88"/>
      <x:c r="E15" s="88"/>
      <x:c r="F15" s="89" t="str">
        <x:f>IF('Sample Manifest'!H15="absent","",IF(D15="","",IF(E15="",D15,MIN(D15,59))))</x:f>
      </x:c>
      <x:c r="G15" s="88"/>
      <x:c r="H15" s="89" t="str">
        <x:f>IF('Sample Manifest'!H15="present",IF(COUNT(C15,F15,G15)=3,C15*0.5+F15*0.3+G15*0.2,""),IF(COUNT(C15,G15)=2,(C15*0.5+G15*0.2)/0.7,""))</x:f>
      </x:c>
      <x:c r="I15" s="66"/>
      <x:c r="J15" s="69"/>
    </x:row>
    <x:row r="16">
      <x:c r="A16" s="25" t="str">
        <x:v>AR-P03-DE</x:v>
      </x:c>
      <x:c r="B16" s="66" t="str"/>
      <x:c r="C16" s="88"/>
      <x:c r="D16" s="88"/>
      <x:c r="E16" s="88"/>
      <x:c r="F16" s="89" t="str">
        <x:f>IF('Sample Manifest'!H16="absent","",IF(D16="","",IF(E16="",D16,MIN(D16,59))))</x:f>
      </x:c>
      <x:c r="G16" s="88"/>
      <x:c r="H16" s="89" t="str">
        <x:f>IF('Sample Manifest'!H16="present",IF(COUNT(C16,F16,G16)=3,C16*0.5+F16*0.3+G16*0.2,""),IF(COUNT(C16,G16)=2,(C16*0.5+G16*0.2)/0.7,""))</x:f>
      </x:c>
      <x:c r="I16" s="66"/>
      <x:c r="J16" s="69"/>
    </x:row>
    <x:row r="17">
      <x:c r="A17" s="25" t="str">
        <x:v>AR-P03-JP</x:v>
      </x:c>
      <x:c r="B17" s="66" t="str"/>
      <x:c r="C17" s="88"/>
      <x:c r="D17" s="88"/>
      <x:c r="E17" s="88"/>
      <x:c r="F17" s="89" t="str">
        <x:f>IF('Sample Manifest'!H17="absent","",IF(D17="","",IF(E17="",D17,MIN(D17,59))))</x:f>
      </x:c>
      <x:c r="G17" s="88"/>
      <x:c r="H17" s="89" t="str">
        <x:f>IF('Sample Manifest'!H17="present",IF(COUNT(C17,F17,G17)=3,C17*0.5+F17*0.3+G17*0.2,""),IF(COUNT(C17,G17)=2,(C17*0.5+G17*0.2)/0.7,""))</x:f>
      </x:c>
      <x:c r="I17" s="66"/>
      <x:c r="J17" s="69"/>
    </x:row>
    <x:row r="18">
      <x:c r="A18" s="25" t="str">
        <x:v>AR-P03-KR</x:v>
      </x:c>
      <x:c r="B18" s="66" t="str"/>
      <x:c r="C18" s="88"/>
      <x:c r="D18" s="88"/>
      <x:c r="E18" s="88"/>
      <x:c r="F18" s="89" t="str">
        <x:f>IF('Sample Manifest'!H18="absent","",IF(D18="","",IF(E18="",D18,MIN(D18,59))))</x:f>
      </x:c>
      <x:c r="G18" s="88"/>
      <x:c r="H18" s="89" t="str">
        <x:f>IF('Sample Manifest'!H18="present",IF(COUNT(C18,F18,G18)=3,C18*0.5+F18*0.3+G18*0.2,""),IF(COUNT(C18,G18)=2,(C18*0.5+G18*0.2)/0.7,""))</x:f>
      </x:c>
      <x:c r="I18" s="66"/>
      <x:c r="J18" s="69"/>
    </x:row>
    <x:row r="19">
      <x:c r="A19" s="25" t="str">
        <x:v>AR-P03-AE</x:v>
      </x:c>
      <x:c r="B19" s="66" t="str"/>
      <x:c r="C19" s="88"/>
      <x:c r="D19" s="88"/>
      <x:c r="E19" s="88"/>
      <x:c r="F19" s="89" t="str">
        <x:f>IF('Sample Manifest'!H19="absent","",IF(D19="","",IF(E19="",D19,MIN(D19,59))))</x:f>
      </x:c>
      <x:c r="G19" s="88"/>
      <x:c r="H19" s="89" t="str">
        <x:f>IF('Sample Manifest'!H19="present",IF(COUNT(C19,F19,G19)=3,C19*0.5+F19*0.3+G19*0.2,""),IF(COUNT(C19,G19)=2,(C19*0.5+G19*0.2)/0.7,""))</x:f>
      </x:c>
      <x:c r="I19" s="66"/>
      <x:c r="J19" s="69"/>
    </x:row>
    <x:row r="20">
      <x:c r="A20" s="25" t="str">
        <x:v>AR-P04-US</x:v>
      </x:c>
      <x:c r="B20" s="66" t="str"/>
      <x:c r="C20" s="88"/>
      <x:c r="D20" s="88"/>
      <x:c r="E20" s="88"/>
      <x:c r="F20" s="89" t="str">
        <x:f>IF('Sample Manifest'!H20="absent","",IF(D20="","",IF(E20="",D20,MIN(D20,59))))</x:f>
      </x:c>
      <x:c r="G20" s="88"/>
      <x:c r="H20" s="89" t="str">
        <x:f>IF('Sample Manifest'!H20="present",IF(COUNT(C20,F20,G20)=3,C20*0.5+F20*0.3+G20*0.2,""),IF(COUNT(C20,G20)=2,(C20*0.5+G20*0.2)/0.7,""))</x:f>
      </x:c>
      <x:c r="I20" s="66"/>
      <x:c r="J20" s="69"/>
    </x:row>
    <x:row r="21">
      <x:c r="A21" s="25" t="str">
        <x:v>AR-P04-DE</x:v>
      </x:c>
      <x:c r="B21" s="66" t="str"/>
      <x:c r="C21" s="88"/>
      <x:c r="D21" s="88"/>
      <x:c r="E21" s="88"/>
      <x:c r="F21" s="89" t="str">
        <x:f>IF('Sample Manifest'!H21="absent","",IF(D21="","",IF(E21="",D21,MIN(D21,59))))</x:f>
      </x:c>
      <x:c r="G21" s="88"/>
      <x:c r="H21" s="89" t="str">
        <x:f>IF('Sample Manifest'!H21="present",IF(COUNT(C21,F21,G21)=3,C21*0.5+F21*0.3+G21*0.2,""),IF(COUNT(C21,G21)=2,(C21*0.5+G21*0.2)/0.7,""))</x:f>
      </x:c>
      <x:c r="I21" s="66"/>
      <x:c r="J21" s="69"/>
    </x:row>
    <x:row r="22">
      <x:c r="A22" s="25" t="str">
        <x:v>AR-P04-JP</x:v>
      </x:c>
      <x:c r="B22" s="66" t="str"/>
      <x:c r="C22" s="88"/>
      <x:c r="D22" s="88"/>
      <x:c r="E22" s="88"/>
      <x:c r="F22" s="89" t="str">
        <x:f>IF('Sample Manifest'!H22="absent","",IF(D22="","",IF(E22="",D22,MIN(D22,59))))</x:f>
      </x:c>
      <x:c r="G22" s="88"/>
      <x:c r="H22" s="89" t="str">
        <x:f>IF('Sample Manifest'!H22="present",IF(COUNT(C22,F22,G22)=3,C22*0.5+F22*0.3+G22*0.2,""),IF(COUNT(C22,G22)=2,(C22*0.5+G22*0.2)/0.7,""))</x:f>
      </x:c>
      <x:c r="I22" s="66"/>
      <x:c r="J22" s="69"/>
    </x:row>
    <x:row r="23">
      <x:c r="A23" s="25" t="str">
        <x:v>AR-P04-KR</x:v>
      </x:c>
      <x:c r="B23" s="66" t="str"/>
      <x:c r="C23" s="88"/>
      <x:c r="D23" s="88"/>
      <x:c r="E23" s="88"/>
      <x:c r="F23" s="89" t="str">
        <x:f>IF('Sample Manifest'!H23="absent","",IF(D23="","",IF(E23="",D23,MIN(D23,59))))</x:f>
      </x:c>
      <x:c r="G23" s="88"/>
      <x:c r="H23" s="89" t="str">
        <x:f>IF('Sample Manifest'!H23="present",IF(COUNT(C23,F23,G23)=3,C23*0.5+F23*0.3+G23*0.2,""),IF(COUNT(C23,G23)=2,(C23*0.5+G23*0.2)/0.7,""))</x:f>
      </x:c>
      <x:c r="I23" s="66"/>
      <x:c r="J23" s="69"/>
    </x:row>
    <x:row r="24">
      <x:c r="A24" s="25" t="str">
        <x:v>AR-P04-AE</x:v>
      </x:c>
      <x:c r="B24" s="66" t="str"/>
      <x:c r="C24" s="88"/>
      <x:c r="D24" s="88"/>
      <x:c r="E24" s="88"/>
      <x:c r="F24" s="89" t="str">
        <x:f>IF('Sample Manifest'!H24="absent","",IF(D24="","",IF(E24="",D24,MIN(D24,59))))</x:f>
      </x:c>
      <x:c r="G24" s="88"/>
      <x:c r="H24" s="89" t="str">
        <x:f>IF('Sample Manifest'!H24="present",IF(COUNT(C24,F24,G24)=3,C24*0.5+F24*0.3+G24*0.2,""),IF(COUNT(C24,G24)=2,(C24*0.5+G24*0.2)/0.7,""))</x:f>
      </x:c>
      <x:c r="I24" s="66"/>
      <x:c r="J24" s="69"/>
    </x:row>
    <x:row r="25">
      <x:c r="A25" s="25" t="str">
        <x:v>AR-P05-US</x:v>
      </x:c>
      <x:c r="B25" s="66" t="str"/>
      <x:c r="C25" s="88"/>
      <x:c r="D25" s="88"/>
      <x:c r="E25" s="88"/>
      <x:c r="F25" s="89" t="str">
        <x:f>IF('Sample Manifest'!H25="absent","",IF(D25="","",IF(E25="",D25,MIN(D25,59))))</x:f>
      </x:c>
      <x:c r="G25" s="88"/>
      <x:c r="H25" s="89" t="str">
        <x:f>IF('Sample Manifest'!H25="present",IF(COUNT(C25,F25,G25)=3,C25*0.5+F25*0.3+G25*0.2,""),IF(COUNT(C25,G25)=2,(C25*0.5+G25*0.2)/0.7,""))</x:f>
      </x:c>
      <x:c r="I25" s="66"/>
      <x:c r="J25" s="69"/>
    </x:row>
    <x:row r="26">
      <x:c r="A26" s="25" t="str">
        <x:v>AR-P05-DE</x:v>
      </x:c>
      <x:c r="B26" s="66" t="str"/>
      <x:c r="C26" s="88"/>
      <x:c r="D26" s="88"/>
      <x:c r="E26" s="88"/>
      <x:c r="F26" s="89" t="str">
        <x:f>IF('Sample Manifest'!H26="absent","",IF(D26="","",IF(E26="",D26,MIN(D26,59))))</x:f>
      </x:c>
      <x:c r="G26" s="88"/>
      <x:c r="H26" s="89" t="str">
        <x:f>IF('Sample Manifest'!H26="present",IF(COUNT(C26,F26,G26)=3,C26*0.5+F26*0.3+G26*0.2,""),IF(COUNT(C26,G26)=2,(C26*0.5+G26*0.2)/0.7,""))</x:f>
      </x:c>
      <x:c r="I26" s="66"/>
      <x:c r="J26" s="69"/>
    </x:row>
    <x:row r="27">
      <x:c r="A27" s="25" t="str">
        <x:v>AR-P05-JP</x:v>
      </x:c>
      <x:c r="B27" s="66" t="str"/>
      <x:c r="C27" s="88"/>
      <x:c r="D27" s="88"/>
      <x:c r="E27" s="88"/>
      <x:c r="F27" s="89" t="str">
        <x:f>IF('Sample Manifest'!H27="absent","",IF(D27="","",IF(E27="",D27,MIN(D27,59))))</x:f>
      </x:c>
      <x:c r="G27" s="88"/>
      <x:c r="H27" s="89" t="str">
        <x:f>IF('Sample Manifest'!H27="present",IF(COUNT(C27,F27,G27)=3,C27*0.5+F27*0.3+G27*0.2,""),IF(COUNT(C27,G27)=2,(C27*0.5+G27*0.2)/0.7,""))</x:f>
      </x:c>
      <x:c r="I27" s="66"/>
      <x:c r="J27" s="69"/>
    </x:row>
    <x:row r="28">
      <x:c r="A28" s="25" t="str">
        <x:v>AR-P05-KR</x:v>
      </x:c>
      <x:c r="B28" s="66" t="str"/>
      <x:c r="C28" s="88"/>
      <x:c r="D28" s="88"/>
      <x:c r="E28" s="88"/>
      <x:c r="F28" s="89" t="str">
        <x:f>IF('Sample Manifest'!H28="absent","",IF(D28="","",IF(E28="",D28,MIN(D28,59))))</x:f>
      </x:c>
      <x:c r="G28" s="88"/>
      <x:c r="H28" s="89" t="str">
        <x:f>IF('Sample Manifest'!H28="present",IF(COUNT(C28,F28,G28)=3,C28*0.5+F28*0.3+G28*0.2,""),IF(COUNT(C28,G28)=2,(C28*0.5+G28*0.2)/0.7,""))</x:f>
      </x:c>
      <x:c r="I28" s="66"/>
      <x:c r="J28" s="69"/>
    </x:row>
    <x:row r="29">
      <x:c r="A29" s="25" t="str">
        <x:v>AR-P05-AE</x:v>
      </x:c>
      <x:c r="B29" s="66" t="str"/>
      <x:c r="C29" s="88"/>
      <x:c r="D29" s="88"/>
      <x:c r="E29" s="88"/>
      <x:c r="F29" s="89" t="str">
        <x:f>IF('Sample Manifest'!H29="absent","",IF(D29="","",IF(E29="",D29,MIN(D29,59))))</x:f>
      </x:c>
      <x:c r="G29" s="88"/>
      <x:c r="H29" s="89" t="str">
        <x:f>IF('Sample Manifest'!H29="present",IF(COUNT(C29,F29,G29)=3,C29*0.5+F29*0.3+G29*0.2,""),IF(COUNT(C29,G29)=2,(C29*0.5+G29*0.2)/0.7,""))</x:f>
      </x:c>
      <x:c r="I29" s="66"/>
      <x:c r="J29" s="69"/>
    </x:row>
    <x:row r="30">
      <x:c r="A30" s="25" t="str">
        <x:v>AR-P06-US</x:v>
      </x:c>
      <x:c r="B30" s="66" t="str"/>
      <x:c r="C30" s="88"/>
      <x:c r="D30" s="88"/>
      <x:c r="E30" s="88"/>
      <x:c r="F30" s="89" t="str">
        <x:f>IF('Sample Manifest'!H30="absent","",IF(D30="","",IF(E30="",D30,MIN(D30,59))))</x:f>
      </x:c>
      <x:c r="G30" s="88"/>
      <x:c r="H30" s="89" t="str">
        <x:f>IF('Sample Manifest'!H30="present",IF(COUNT(C30,F30,G30)=3,C30*0.5+F30*0.3+G30*0.2,""),IF(COUNT(C30,G30)=2,(C30*0.5+G30*0.2)/0.7,""))</x:f>
      </x:c>
      <x:c r="I30" s="66"/>
      <x:c r="J30" s="69"/>
    </x:row>
    <x:row r="31">
      <x:c r="A31" s="25" t="str">
        <x:v>AR-P06-DE</x:v>
      </x:c>
      <x:c r="B31" s="66" t="str"/>
      <x:c r="C31" s="88"/>
      <x:c r="D31" s="88"/>
      <x:c r="E31" s="88"/>
      <x:c r="F31" s="89" t="str">
        <x:f>IF('Sample Manifest'!H31="absent","",IF(D31="","",IF(E31="",D31,MIN(D31,59))))</x:f>
      </x:c>
      <x:c r="G31" s="88"/>
      <x:c r="H31" s="89" t="str">
        <x:f>IF('Sample Manifest'!H31="present",IF(COUNT(C31,F31,G31)=3,C31*0.5+F31*0.3+G31*0.2,""),IF(COUNT(C31,G31)=2,(C31*0.5+G31*0.2)/0.7,""))</x:f>
      </x:c>
      <x:c r="I31" s="66"/>
      <x:c r="J31" s="69"/>
    </x:row>
    <x:row r="32">
      <x:c r="A32" s="25" t="str">
        <x:v>AR-P06-JP</x:v>
      </x:c>
      <x:c r="B32" s="66" t="str"/>
      <x:c r="C32" s="88"/>
      <x:c r="D32" s="88"/>
      <x:c r="E32" s="88"/>
      <x:c r="F32" s="89" t="str">
        <x:f>IF('Sample Manifest'!H32="absent","",IF(D32="","",IF(E32="",D32,MIN(D32,59))))</x:f>
      </x:c>
      <x:c r="G32" s="88"/>
      <x:c r="H32" s="89" t="str">
        <x:f>IF('Sample Manifest'!H32="present",IF(COUNT(C32,F32,G32)=3,C32*0.5+F32*0.3+G32*0.2,""),IF(COUNT(C32,G32)=2,(C32*0.5+G32*0.2)/0.7,""))</x:f>
      </x:c>
      <x:c r="I32" s="66"/>
      <x:c r="J32" s="69"/>
    </x:row>
    <x:row r="33">
      <x:c r="A33" s="25" t="str">
        <x:v>AR-P06-KR</x:v>
      </x:c>
      <x:c r="B33" s="66" t="str"/>
      <x:c r="C33" s="88"/>
      <x:c r="D33" s="88"/>
      <x:c r="E33" s="88"/>
      <x:c r="F33" s="89" t="str">
        <x:f>IF('Sample Manifest'!H33="absent","",IF(D33="","",IF(E33="",D33,MIN(D33,59))))</x:f>
      </x:c>
      <x:c r="G33" s="88"/>
      <x:c r="H33" s="89" t="str">
        <x:f>IF('Sample Manifest'!H33="present",IF(COUNT(C33,F33,G33)=3,C33*0.5+F33*0.3+G33*0.2,""),IF(COUNT(C33,G33)=2,(C33*0.5+G33*0.2)/0.7,""))</x:f>
      </x:c>
      <x:c r="I33" s="66"/>
      <x:c r="J33" s="69"/>
    </x:row>
    <x:row r="34">
      <x:c r="A34" s="25" t="str">
        <x:v>AR-P06-AE</x:v>
      </x:c>
      <x:c r="B34" s="66" t="str"/>
      <x:c r="C34" s="88"/>
      <x:c r="D34" s="88"/>
      <x:c r="E34" s="88"/>
      <x:c r="F34" s="89" t="str">
        <x:f>IF('Sample Manifest'!H34="absent","",IF(D34="","",IF(E34="",D34,MIN(D34,59))))</x:f>
      </x:c>
      <x:c r="G34" s="88"/>
      <x:c r="H34" s="89" t="str">
        <x:f>IF('Sample Manifest'!H34="present",IF(COUNT(C34,F34,G34)=3,C34*0.5+F34*0.3+G34*0.2,""),IF(COUNT(C34,G34)=2,(C34*0.5+G34*0.2)/0.7,""))</x:f>
      </x:c>
      <x:c r="I34" s="66"/>
      <x:c r="J34" s="69"/>
    </x:row>
    <x:row r="35">
      <x:c r="A35" s="25" t="str">
        <x:v>AR-P07-US</x:v>
      </x:c>
      <x:c r="B35" s="66" t="str"/>
      <x:c r="C35" s="88"/>
      <x:c r="D35" s="88"/>
      <x:c r="E35" s="88"/>
      <x:c r="F35" s="89" t="str">
        <x:f>IF('Sample Manifest'!H35="absent","",IF(D35="","",IF(E35="",D35,MIN(D35,59))))</x:f>
      </x:c>
      <x:c r="G35" s="88"/>
      <x:c r="H35" s="89" t="str">
        <x:f>IF('Sample Manifest'!H35="present",IF(COUNT(C35,F35,G35)=3,C35*0.5+F35*0.3+G35*0.2,""),IF(COUNT(C35,G35)=2,(C35*0.5+G35*0.2)/0.7,""))</x:f>
      </x:c>
      <x:c r="I35" s="66"/>
      <x:c r="J35" s="69"/>
    </x:row>
    <x:row r="36">
      <x:c r="A36" s="25" t="str">
        <x:v>AR-P07-DE</x:v>
      </x:c>
      <x:c r="B36" s="66" t="str"/>
      <x:c r="C36" s="88"/>
      <x:c r="D36" s="88"/>
      <x:c r="E36" s="88"/>
      <x:c r="F36" s="89" t="str">
        <x:f>IF('Sample Manifest'!H36="absent","",IF(D36="","",IF(E36="",D36,MIN(D36,59))))</x:f>
      </x:c>
      <x:c r="G36" s="88"/>
      <x:c r="H36" s="89" t="str">
        <x:f>IF('Sample Manifest'!H36="present",IF(COUNT(C36,F36,G36)=3,C36*0.5+F36*0.3+G36*0.2,""),IF(COUNT(C36,G36)=2,(C36*0.5+G36*0.2)/0.7,""))</x:f>
      </x:c>
      <x:c r="I36" s="66"/>
      <x:c r="J36" s="69"/>
    </x:row>
    <x:row r="37">
      <x:c r="A37" s="25" t="str">
        <x:v>AR-P07-JP</x:v>
      </x:c>
      <x:c r="B37" s="66" t="str"/>
      <x:c r="C37" s="88"/>
      <x:c r="D37" s="88"/>
      <x:c r="E37" s="88"/>
      <x:c r="F37" s="89" t="str">
        <x:f>IF('Sample Manifest'!H37="absent","",IF(D37="","",IF(E37="",D37,MIN(D37,59))))</x:f>
      </x:c>
      <x:c r="G37" s="88"/>
      <x:c r="H37" s="89" t="str">
        <x:f>IF('Sample Manifest'!H37="present",IF(COUNT(C37,F37,G37)=3,C37*0.5+F37*0.3+G37*0.2,""),IF(COUNT(C37,G37)=2,(C37*0.5+G37*0.2)/0.7,""))</x:f>
      </x:c>
      <x:c r="I37" s="66"/>
      <x:c r="J37" s="69"/>
    </x:row>
    <x:row r="38">
      <x:c r="A38" s="25" t="str">
        <x:v>AR-P07-KR</x:v>
      </x:c>
      <x:c r="B38" s="66" t="str"/>
      <x:c r="C38" s="88"/>
      <x:c r="D38" s="88"/>
      <x:c r="E38" s="88"/>
      <x:c r="F38" s="89" t="str">
        <x:f>IF('Sample Manifest'!H38="absent","",IF(D38="","",IF(E38="",D38,MIN(D38,59))))</x:f>
      </x:c>
      <x:c r="G38" s="88"/>
      <x:c r="H38" s="89" t="str">
        <x:f>IF('Sample Manifest'!H38="present",IF(COUNT(C38,F38,G38)=3,C38*0.5+F38*0.3+G38*0.2,""),IF(COUNT(C38,G38)=2,(C38*0.5+G38*0.2)/0.7,""))</x:f>
      </x:c>
      <x:c r="I38" s="66"/>
      <x:c r="J38" s="69"/>
    </x:row>
    <x:row r="39">
      <x:c r="A39" s="25" t="str">
        <x:v>AR-P07-AE</x:v>
      </x:c>
      <x:c r="B39" s="66" t="str"/>
      <x:c r="C39" s="88"/>
      <x:c r="D39" s="88"/>
      <x:c r="E39" s="88"/>
      <x:c r="F39" s="89" t="str">
        <x:f>IF('Sample Manifest'!H39="absent","",IF(D39="","",IF(E39="",D39,MIN(D39,59))))</x:f>
      </x:c>
      <x:c r="G39" s="88"/>
      <x:c r="H39" s="89" t="str">
        <x:f>IF('Sample Manifest'!H39="present",IF(COUNT(C39,F39,G39)=3,C39*0.5+F39*0.3+G39*0.2,""),IF(COUNT(C39,G39)=2,(C39*0.5+G39*0.2)/0.7,""))</x:f>
      </x:c>
      <x:c r="I39" s="66"/>
      <x:c r="J39" s="69"/>
    </x:row>
    <x:row r="40">
      <x:c r="A40" s="25" t="str">
        <x:v>AR-P08-US</x:v>
      </x:c>
      <x:c r="B40" s="66" t="str"/>
      <x:c r="C40" s="88"/>
      <x:c r="D40" s="88"/>
      <x:c r="E40" s="88"/>
      <x:c r="F40" s="89" t="str">
        <x:f>IF('Sample Manifest'!H40="absent","",IF(D40="","",IF(E40="",D40,MIN(D40,59))))</x:f>
      </x:c>
      <x:c r="G40" s="88"/>
      <x:c r="H40" s="89" t="str">
        <x:f>IF('Sample Manifest'!H40="present",IF(COUNT(C40,F40,G40)=3,C40*0.5+F40*0.3+G40*0.2,""),IF(COUNT(C40,G40)=2,(C40*0.5+G40*0.2)/0.7,""))</x:f>
      </x:c>
      <x:c r="I40" s="66"/>
      <x:c r="J40" s="69"/>
    </x:row>
    <x:row r="41">
      <x:c r="A41" s="25" t="str">
        <x:v>AR-P08-DE</x:v>
      </x:c>
      <x:c r="B41" s="66" t="str"/>
      <x:c r="C41" s="88"/>
      <x:c r="D41" s="88"/>
      <x:c r="E41" s="88"/>
      <x:c r="F41" s="89" t="str">
        <x:f>IF('Sample Manifest'!H41="absent","",IF(D41="","",IF(E41="",D41,MIN(D41,59))))</x:f>
      </x:c>
      <x:c r="G41" s="88"/>
      <x:c r="H41" s="89" t="str">
        <x:f>IF('Sample Manifest'!H41="present",IF(COUNT(C41,F41,G41)=3,C41*0.5+F41*0.3+G41*0.2,""),IF(COUNT(C41,G41)=2,(C41*0.5+G41*0.2)/0.7,""))</x:f>
      </x:c>
      <x:c r="I41" s="66"/>
      <x:c r="J41" s="69"/>
    </x:row>
    <x:row r="42">
      <x:c r="A42" s="25" t="str">
        <x:v>AR-P08-JP</x:v>
      </x:c>
      <x:c r="B42" s="66" t="str"/>
      <x:c r="C42" s="88"/>
      <x:c r="D42" s="88"/>
      <x:c r="E42" s="88"/>
      <x:c r="F42" s="89" t="str">
        <x:f>IF('Sample Manifest'!H42="absent","",IF(D42="","",IF(E42="",D42,MIN(D42,59))))</x:f>
      </x:c>
      <x:c r="G42" s="88"/>
      <x:c r="H42" s="89" t="str">
        <x:f>IF('Sample Manifest'!H42="present",IF(COUNT(C42,F42,G42)=3,C42*0.5+F42*0.3+G42*0.2,""),IF(COUNT(C42,G42)=2,(C42*0.5+G42*0.2)/0.7,""))</x:f>
      </x:c>
      <x:c r="I42" s="66"/>
      <x:c r="J42" s="69"/>
    </x:row>
    <x:row r="43">
      <x:c r="A43" s="25" t="str">
        <x:v>AR-P08-KR</x:v>
      </x:c>
      <x:c r="B43" s="66" t="str"/>
      <x:c r="C43" s="88"/>
      <x:c r="D43" s="88"/>
      <x:c r="E43" s="88"/>
      <x:c r="F43" s="89" t="str">
        <x:f>IF('Sample Manifest'!H43="absent","",IF(D43="","",IF(E43="",D43,MIN(D43,59))))</x:f>
      </x:c>
      <x:c r="G43" s="88"/>
      <x:c r="H43" s="89" t="str">
        <x:f>IF('Sample Manifest'!H43="present",IF(COUNT(C43,F43,G43)=3,C43*0.5+F43*0.3+G43*0.2,""),IF(COUNT(C43,G43)=2,(C43*0.5+G43*0.2)/0.7,""))</x:f>
      </x:c>
      <x:c r="I43" s="66"/>
      <x:c r="J43" s="69"/>
    </x:row>
    <x:row r="44">
      <x:c r="A44" s="25" t="str">
        <x:v>AR-P08-AE</x:v>
      </x:c>
      <x:c r="B44" s="66" t="str"/>
      <x:c r="C44" s="88"/>
      <x:c r="D44" s="88"/>
      <x:c r="E44" s="88"/>
      <x:c r="F44" s="89" t="str">
        <x:f>IF('Sample Manifest'!H44="absent","",IF(D44="","",IF(E44="",D44,MIN(D44,59))))</x:f>
      </x:c>
      <x:c r="G44" s="88"/>
      <x:c r="H44" s="89" t="str">
        <x:f>IF('Sample Manifest'!H44="present",IF(COUNT(C44,F44,G44)=3,C44*0.5+F44*0.3+G44*0.2,""),IF(COUNT(C44,G44)=2,(C44*0.5+G44*0.2)/0.7,""))</x:f>
      </x:c>
      <x:c r="I44" s="66"/>
      <x:c r="J44" s="69"/>
    </x:row>
    <x:row r="45">
      <x:c r="A45" s="25" t="str">
        <x:v>AR-P09-US</x:v>
      </x:c>
      <x:c r="B45" s="66" t="str"/>
      <x:c r="C45" s="88"/>
      <x:c r="D45" s="88"/>
      <x:c r="E45" s="88"/>
      <x:c r="F45" s="89" t="str">
        <x:f>IF('Sample Manifest'!H45="absent","",IF(D45="","",IF(E45="",D45,MIN(D45,59))))</x:f>
      </x:c>
      <x:c r="G45" s="88"/>
      <x:c r="H45" s="89" t="str">
        <x:f>IF('Sample Manifest'!H45="present",IF(COUNT(C45,F45,G45)=3,C45*0.5+F45*0.3+G45*0.2,""),IF(COUNT(C45,G45)=2,(C45*0.5+G45*0.2)/0.7,""))</x:f>
      </x:c>
      <x:c r="I45" s="66"/>
      <x:c r="J45" s="69"/>
    </x:row>
    <x:row r="46">
      <x:c r="A46" s="25" t="str">
        <x:v>AR-P09-DE</x:v>
      </x:c>
      <x:c r="B46" s="66" t="str"/>
      <x:c r="C46" s="88"/>
      <x:c r="D46" s="88"/>
      <x:c r="E46" s="88"/>
      <x:c r="F46" s="89" t="str">
        <x:f>IF('Sample Manifest'!H46="absent","",IF(D46="","",IF(E46="",D46,MIN(D46,59))))</x:f>
      </x:c>
      <x:c r="G46" s="88"/>
      <x:c r="H46" s="89" t="str">
        <x:f>IF('Sample Manifest'!H46="present",IF(COUNT(C46,F46,G46)=3,C46*0.5+F46*0.3+G46*0.2,""),IF(COUNT(C46,G46)=2,(C46*0.5+G46*0.2)/0.7,""))</x:f>
      </x:c>
      <x:c r="I46" s="66"/>
      <x:c r="J46" s="69"/>
    </x:row>
    <x:row r="47">
      <x:c r="A47" s="25" t="str">
        <x:v>AR-P09-JP</x:v>
      </x:c>
      <x:c r="B47" s="66" t="str"/>
      <x:c r="C47" s="88"/>
      <x:c r="D47" s="88"/>
      <x:c r="E47" s="88"/>
      <x:c r="F47" s="89" t="str">
        <x:f>IF('Sample Manifest'!H47="absent","",IF(D47="","",IF(E47="",D47,MIN(D47,59))))</x:f>
      </x:c>
      <x:c r="G47" s="88"/>
      <x:c r="H47" s="89" t="str">
        <x:f>IF('Sample Manifest'!H47="present",IF(COUNT(C47,F47,G47)=3,C47*0.5+F47*0.3+G47*0.2,""),IF(COUNT(C47,G47)=2,(C47*0.5+G47*0.2)/0.7,""))</x:f>
      </x:c>
      <x:c r="I47" s="66"/>
      <x:c r="J47" s="69"/>
    </x:row>
    <x:row r="48">
      <x:c r="A48" s="25" t="str">
        <x:v>AR-P09-KR</x:v>
      </x:c>
      <x:c r="B48" s="66" t="str"/>
      <x:c r="C48" s="88"/>
      <x:c r="D48" s="88"/>
      <x:c r="E48" s="88"/>
      <x:c r="F48" s="89" t="str">
        <x:f>IF('Sample Manifest'!H48="absent","",IF(D48="","",IF(E48="",D48,MIN(D48,59))))</x:f>
      </x:c>
      <x:c r="G48" s="88"/>
      <x:c r="H48" s="89" t="str">
        <x:f>IF('Sample Manifest'!H48="present",IF(COUNT(C48,F48,G48)=3,C48*0.5+F48*0.3+G48*0.2,""),IF(COUNT(C48,G48)=2,(C48*0.5+G48*0.2)/0.7,""))</x:f>
      </x:c>
      <x:c r="I48" s="66"/>
      <x:c r="J48" s="69"/>
    </x:row>
    <x:row r="49">
      <x:c r="A49" s="25" t="str">
        <x:v>AR-P09-AE</x:v>
      </x:c>
      <x:c r="B49" s="66" t="str"/>
      <x:c r="C49" s="88"/>
      <x:c r="D49" s="88"/>
      <x:c r="E49" s="88"/>
      <x:c r="F49" s="89" t="str">
        <x:f>IF('Sample Manifest'!H49="absent","",IF(D49="","",IF(E49="",D49,MIN(D49,59))))</x:f>
      </x:c>
      <x:c r="G49" s="88"/>
      <x:c r="H49" s="89" t="str">
        <x:f>IF('Sample Manifest'!H49="present",IF(COUNT(C49,F49,G49)=3,C49*0.5+F49*0.3+G49*0.2,""),IF(COUNT(C49,G49)=2,(C49*0.5+G49*0.2)/0.7,""))</x:f>
      </x:c>
      <x:c r="I49" s="66"/>
      <x:c r="J49" s="69"/>
    </x:row>
    <x:row r="50">
      <x:c r="A50" s="25" t="str">
        <x:v>AR-P10-US</x:v>
      </x:c>
      <x:c r="B50" s="66" t="str"/>
      <x:c r="C50" s="88"/>
      <x:c r="D50" s="88"/>
      <x:c r="E50" s="88"/>
      <x:c r="F50" s="89" t="str">
        <x:f>IF('Sample Manifest'!H50="absent","",IF(D50="","",IF(E50="",D50,MIN(D50,59))))</x:f>
      </x:c>
      <x:c r="G50" s="88"/>
      <x:c r="H50" s="89" t="str">
        <x:f>IF('Sample Manifest'!H50="present",IF(COUNT(C50,F50,G50)=3,C50*0.5+F50*0.3+G50*0.2,""),IF(COUNT(C50,G50)=2,(C50*0.5+G50*0.2)/0.7,""))</x:f>
      </x:c>
      <x:c r="I50" s="66"/>
      <x:c r="J50" s="69"/>
    </x:row>
    <x:row r="51">
      <x:c r="A51" s="25" t="str">
        <x:v>AR-P10-DE</x:v>
      </x:c>
      <x:c r="B51" s="66" t="str"/>
      <x:c r="C51" s="88"/>
      <x:c r="D51" s="88"/>
      <x:c r="E51" s="88"/>
      <x:c r="F51" s="89" t="str">
        <x:f>IF('Sample Manifest'!H51="absent","",IF(D51="","",IF(E51="",D51,MIN(D51,59))))</x:f>
      </x:c>
      <x:c r="G51" s="88"/>
      <x:c r="H51" s="89" t="str">
        <x:f>IF('Sample Manifest'!H51="present",IF(COUNT(C51,F51,G51)=3,C51*0.5+F51*0.3+G51*0.2,""),IF(COUNT(C51,G51)=2,(C51*0.5+G51*0.2)/0.7,""))</x:f>
      </x:c>
      <x:c r="I51" s="66"/>
      <x:c r="J51" s="69"/>
    </x:row>
    <x:row r="52">
      <x:c r="A52" s="25" t="str">
        <x:v>AR-P10-JP</x:v>
      </x:c>
      <x:c r="B52" s="66" t="str"/>
      <x:c r="C52" s="88"/>
      <x:c r="D52" s="88"/>
      <x:c r="E52" s="88"/>
      <x:c r="F52" s="89" t="str">
        <x:f>IF('Sample Manifest'!H52="absent","",IF(D52="","",IF(E52="",D52,MIN(D52,59))))</x:f>
      </x:c>
      <x:c r="G52" s="88"/>
      <x:c r="H52" s="89" t="str">
        <x:f>IF('Sample Manifest'!H52="present",IF(COUNT(C52,F52,G52)=3,C52*0.5+F52*0.3+G52*0.2,""),IF(COUNT(C52,G52)=2,(C52*0.5+G52*0.2)/0.7,""))</x:f>
      </x:c>
      <x:c r="I52" s="66"/>
      <x:c r="J52" s="69"/>
    </x:row>
    <x:row r="53">
      <x:c r="A53" s="25" t="str">
        <x:v>AR-P10-KR</x:v>
      </x:c>
      <x:c r="B53" s="66" t="str"/>
      <x:c r="C53" s="88"/>
      <x:c r="D53" s="88"/>
      <x:c r="E53" s="88"/>
      <x:c r="F53" s="89" t="str">
        <x:f>IF('Sample Manifest'!H53="absent","",IF(D53="","",IF(E53="",D53,MIN(D53,59))))</x:f>
      </x:c>
      <x:c r="G53" s="88"/>
      <x:c r="H53" s="89" t="str">
        <x:f>IF('Sample Manifest'!H53="present",IF(COUNT(C53,F53,G53)=3,C53*0.5+F53*0.3+G53*0.2,""),IF(COUNT(C53,G53)=2,(C53*0.5+G53*0.2)/0.7,""))</x:f>
      </x:c>
      <x:c r="I53" s="66"/>
      <x:c r="J53" s="69"/>
    </x:row>
    <x:row r="54">
      <x:c r="A54" s="25" t="str">
        <x:v>AR-P10-AE</x:v>
      </x:c>
      <x:c r="B54" s="66" t="str"/>
      <x:c r="C54" s="88"/>
      <x:c r="D54" s="88"/>
      <x:c r="E54" s="88"/>
      <x:c r="F54" s="89" t="str">
        <x:f>IF('Sample Manifest'!H54="absent","",IF(D54="","",IF(E54="",D54,MIN(D54,59))))</x:f>
      </x:c>
      <x:c r="G54" s="88"/>
      <x:c r="H54" s="89" t="str">
        <x:f>IF('Sample Manifest'!H54="present",IF(COUNT(C54,F54,G54)=3,C54*0.5+F54*0.3+G54*0.2,""),IF(COUNT(C54,G54)=2,(C54*0.5+G54*0.2)/0.7,""))</x:f>
      </x:c>
      <x:c r="I54" s="66"/>
      <x:c r="J54" s="69"/>
    </x:row>
    <x:row r="55">
      <x:c r="A55" s="25" t="str">
        <x:v>AR-P11-US</x:v>
      </x:c>
      <x:c r="B55" s="66" t="str"/>
      <x:c r="C55" s="88"/>
      <x:c r="D55" s="88"/>
      <x:c r="E55" s="88"/>
      <x:c r="F55" s="89" t="str">
        <x:f>IF('Sample Manifest'!H55="absent","",IF(D55="","",IF(E55="",D55,MIN(D55,59))))</x:f>
      </x:c>
      <x:c r="G55" s="88"/>
      <x:c r="H55" s="89" t="str">
        <x:f>IF('Sample Manifest'!H55="present",IF(COUNT(C55,F55,G55)=3,C55*0.5+F55*0.3+G55*0.2,""),IF(COUNT(C55,G55)=2,(C55*0.5+G55*0.2)/0.7,""))</x:f>
      </x:c>
      <x:c r="I55" s="66"/>
      <x:c r="J55" s="69"/>
    </x:row>
    <x:row r="56">
      <x:c r="A56" s="25" t="str">
        <x:v>AR-P11-DE</x:v>
      </x:c>
      <x:c r="B56" s="66" t="str"/>
      <x:c r="C56" s="88"/>
      <x:c r="D56" s="88"/>
      <x:c r="E56" s="88"/>
      <x:c r="F56" s="89" t="str">
        <x:f>IF('Sample Manifest'!H56="absent","",IF(D56="","",IF(E56="",D56,MIN(D56,59))))</x:f>
      </x:c>
      <x:c r="G56" s="88"/>
      <x:c r="H56" s="89" t="str">
        <x:f>IF('Sample Manifest'!H56="present",IF(COUNT(C56,F56,G56)=3,C56*0.5+F56*0.3+G56*0.2,""),IF(COUNT(C56,G56)=2,(C56*0.5+G56*0.2)/0.7,""))</x:f>
      </x:c>
      <x:c r="I56" s="66"/>
      <x:c r="J56" s="69"/>
    </x:row>
    <x:row r="57">
      <x:c r="A57" s="25" t="str">
        <x:v>AR-P11-JP</x:v>
      </x:c>
      <x:c r="B57" s="66" t="str"/>
      <x:c r="C57" s="88"/>
      <x:c r="D57" s="88"/>
      <x:c r="E57" s="88"/>
      <x:c r="F57" s="89" t="str">
        <x:f>IF('Sample Manifest'!H57="absent","",IF(D57="","",IF(E57="",D57,MIN(D57,59))))</x:f>
      </x:c>
      <x:c r="G57" s="88"/>
      <x:c r="H57" s="89" t="str">
        <x:f>IF('Sample Manifest'!H57="present",IF(COUNT(C57,F57,G57)=3,C57*0.5+F57*0.3+G57*0.2,""),IF(COUNT(C57,G57)=2,(C57*0.5+G57*0.2)/0.7,""))</x:f>
      </x:c>
      <x:c r="I57" s="66"/>
      <x:c r="J57" s="69"/>
    </x:row>
    <x:row r="58">
      <x:c r="A58" s="25" t="str">
        <x:v>AR-P11-KR</x:v>
      </x:c>
      <x:c r="B58" s="66" t="str"/>
      <x:c r="C58" s="88"/>
      <x:c r="D58" s="88"/>
      <x:c r="E58" s="88"/>
      <x:c r="F58" s="89" t="str">
        <x:f>IF('Sample Manifest'!H58="absent","",IF(D58="","",IF(E58="",D58,MIN(D58,59))))</x:f>
      </x:c>
      <x:c r="G58" s="88"/>
      <x:c r="H58" s="89" t="str">
        <x:f>IF('Sample Manifest'!H58="present",IF(COUNT(C58,F58,G58)=3,C58*0.5+F58*0.3+G58*0.2,""),IF(COUNT(C58,G58)=2,(C58*0.5+G58*0.2)/0.7,""))</x:f>
      </x:c>
      <x:c r="I58" s="66"/>
      <x:c r="J58" s="69"/>
    </x:row>
    <x:row r="59">
      <x:c r="A59" s="25" t="str">
        <x:v>AR-P11-AE</x:v>
      </x:c>
      <x:c r="B59" s="66" t="str"/>
      <x:c r="C59" s="88"/>
      <x:c r="D59" s="88"/>
      <x:c r="E59" s="88"/>
      <x:c r="F59" s="89" t="str">
        <x:f>IF('Sample Manifest'!H59="absent","",IF(D59="","",IF(E59="",D59,MIN(D59,59))))</x:f>
      </x:c>
      <x:c r="G59" s="88"/>
      <x:c r="H59" s="89" t="str">
        <x:f>IF('Sample Manifest'!H59="present",IF(COUNT(C59,F59,G59)=3,C59*0.5+F59*0.3+G59*0.2,""),IF(COUNT(C59,G59)=2,(C59*0.5+G59*0.2)/0.7,""))</x:f>
      </x:c>
      <x:c r="I59" s="66"/>
      <x:c r="J59" s="69"/>
    </x:row>
    <x:row r="60">
      <x:c r="A60" s="25" t="str">
        <x:v>AR-P12-US</x:v>
      </x:c>
      <x:c r="B60" s="66" t="str"/>
      <x:c r="C60" s="88"/>
      <x:c r="D60" s="88"/>
      <x:c r="E60" s="88"/>
      <x:c r="F60" s="89" t="str">
        <x:f>IF('Sample Manifest'!H60="absent","",IF(D60="","",IF(E60="",D60,MIN(D60,59))))</x:f>
      </x:c>
      <x:c r="G60" s="88"/>
      <x:c r="H60" s="89" t="str">
        <x:f>IF('Sample Manifest'!H60="present",IF(COUNT(C60,F60,G60)=3,C60*0.5+F60*0.3+G60*0.2,""),IF(COUNT(C60,G60)=2,(C60*0.5+G60*0.2)/0.7,""))</x:f>
      </x:c>
      <x:c r="I60" s="66"/>
      <x:c r="J60" s="69"/>
    </x:row>
    <x:row r="61">
      <x:c r="A61" s="25" t="str">
        <x:v>AR-P12-DE</x:v>
      </x:c>
      <x:c r="B61" s="66" t="str"/>
      <x:c r="C61" s="88"/>
      <x:c r="D61" s="88"/>
      <x:c r="E61" s="88"/>
      <x:c r="F61" s="89" t="str">
        <x:f>IF('Sample Manifest'!H61="absent","",IF(D61="","",IF(E61="",D61,MIN(D61,59))))</x:f>
      </x:c>
      <x:c r="G61" s="88"/>
      <x:c r="H61" s="89" t="str">
        <x:f>IF('Sample Manifest'!H61="present",IF(COUNT(C61,F61,G61)=3,C61*0.5+F61*0.3+G61*0.2,""),IF(COUNT(C61,G61)=2,(C61*0.5+G61*0.2)/0.7,""))</x:f>
      </x:c>
      <x:c r="I61" s="66"/>
      <x:c r="J61" s="69"/>
    </x:row>
    <x:row r="62">
      <x:c r="A62" s="25" t="str">
        <x:v>AR-P12-JP</x:v>
      </x:c>
      <x:c r="B62" s="66" t="str"/>
      <x:c r="C62" s="88"/>
      <x:c r="D62" s="88"/>
      <x:c r="E62" s="88"/>
      <x:c r="F62" s="89" t="str">
        <x:f>IF('Sample Manifest'!H62="absent","",IF(D62="","",IF(E62="",D62,MIN(D62,59))))</x:f>
      </x:c>
      <x:c r="G62" s="88"/>
      <x:c r="H62" s="89" t="str">
        <x:f>IF('Sample Manifest'!H62="present",IF(COUNT(C62,F62,G62)=3,C62*0.5+F62*0.3+G62*0.2,""),IF(COUNT(C62,G62)=2,(C62*0.5+G62*0.2)/0.7,""))</x:f>
      </x:c>
      <x:c r="I62" s="66"/>
      <x:c r="J62" s="69"/>
    </x:row>
    <x:row r="63">
      <x:c r="A63" s="25" t="str">
        <x:v>AR-P12-KR</x:v>
      </x:c>
      <x:c r="B63" s="66" t="str"/>
      <x:c r="C63" s="88"/>
      <x:c r="D63" s="88"/>
      <x:c r="E63" s="88"/>
      <x:c r="F63" s="89" t="str">
        <x:f>IF('Sample Manifest'!H63="absent","",IF(D63="","",IF(E63="",D63,MIN(D63,59))))</x:f>
      </x:c>
      <x:c r="G63" s="88"/>
      <x:c r="H63" s="89" t="str">
        <x:f>IF('Sample Manifest'!H63="present",IF(COUNT(C63,F63,G63)=3,C63*0.5+F63*0.3+G63*0.2,""),IF(COUNT(C63,G63)=2,(C63*0.5+G63*0.2)/0.7,""))</x:f>
      </x:c>
      <x:c r="I63" s="66"/>
      <x:c r="J63" s="69"/>
    </x:row>
    <x:row r="64">
      <x:c r="A64" s="27" t="str">
        <x:v>AR-P12-AE</x:v>
      </x:c>
      <x:c r="B64" s="67" t="str"/>
      <x:c r="C64" s="90"/>
      <x:c r="D64" s="90"/>
      <x:c r="E64" s="90"/>
      <x:c r="F64" s="91" t="str">
        <x:f>IF('Sample Manifest'!H64="absent","",IF(D64="","",IF(E64="",D64,MIN(D64,59))))</x:f>
      </x:c>
      <x:c r="G64" s="90"/>
      <x:c r="H64" s="91" t="str">
        <x:f>IF('Sample Manifest'!H64="present",IF(COUNT(C64,F64,G64)=3,C64*0.5+F64*0.3+G64*0.2,""),IF(COUNT(C64,G64)=2,(C64*0.5+G64*0.2)/0.7,""))</x:f>
      </x:c>
      <x:c r="I64" s="67"/>
      <x:c r="J64" s="70"/>
    </x:row>
  </x:sheetData>
  <x:mergeCells>
    <x:mergeCell ref="A1:J1"/>
    <x:mergeCell ref="A2:J2"/>
  </x:mergeCells>
  <x:dataValidations count="4">
    <x:dataValidation type="decimal" operator="between" sqref="C5:D64">
      <x:formula1>0</x:formula1>
      <x:formula2>100</x:formula2>
    </x:dataValidation>
    <x:dataValidation type="decimal" operator="between" sqref="G5:G64">
      <x:formula1>0</x:formula1>
      <x:formula2>100</x:formula2>
    </x:dataValidation>
    <x:dataValidation type="list" sqref="E5:E64">
      <x:formula1>",core_color_changed,mark_structure_changed,brand_wording_changed,reference_mark_missing,invented_brand_mark"</x:formula1>
    </x:dataValidation>
    <x:dataValidation type="list" sqref="J5:J64">
      <x:formula1>"No,Yes"</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7" hidden="0" customWidth="1"/>
    <x:col min="3" max="3" width="17" hidden="0" customWidth="1"/>
    <x:col min="4" max="4" width="17" hidden="0" customWidth="1"/>
    <x:col min="5" max="5" width="25" hidden="0" customWidth="1"/>
    <x:col min="6" max="6" width="16" hidden="0" customWidth="1"/>
    <x:col min="7" max="7" width="16" hidden="0" customWidth="1"/>
    <x:col min="8" max="8" width="16" hidden="0" customWidth="1"/>
    <x:col min="9" max="9" width="22" hidden="0" customWidth="1"/>
    <x:col min="10" max="10" width="22" hidden="0" customWidth="1"/>
    <x:col min="11" max="11" width="20" hidden="0" customWidth="1"/>
    <x:col min="12" max="12" width="32" hidden="0" customWidth="1"/>
    <x:col min="13" max="13" width="12" hidden="0" customWidth="1"/>
  </x:cols>
  <x:sheetData>
    <x:row r="1" ht="34" customHeight="1">
      <x:c r="A1" s="3" t="str">
        <x:v>Independent Model Judge Scores</x:v>
      </x:c>
      <x:c r="B1" s="3" t="str">
        <x:v>Independent Model Judge Scores</x:v>
      </x:c>
      <x:c r="C1" s="3" t="str">
        <x:v>Independent Model Judge Scores</x:v>
      </x:c>
      <x:c r="D1" s="3" t="str">
        <x:v>Independent Model Judge Scores</x:v>
      </x:c>
      <x:c r="E1" s="3" t="str">
        <x:v>Independent Model Judge Scores</x:v>
      </x:c>
      <x:c r="F1" s="3" t="str">
        <x:v>Independent Model Judge Scores</x:v>
      </x:c>
      <x:c r="G1" s="3" t="str">
        <x:v>Independent Model Judge Scores</x:v>
      </x:c>
      <x:c r="H1" s="3" t="str">
        <x:v>Independent Model Judge Scores</x:v>
      </x:c>
      <x:c r="I1" s="3" t="str">
        <x:v>Independent Model Judge Scores</x:v>
      </x:c>
      <x:c r="J1" s="3" t="str">
        <x:v>Independent Model Judge Scores</x:v>
      </x:c>
      <x:c r="K1" s="3" t="str">
        <x:v>Independent Model Judge Scores</x:v>
      </x:c>
      <x:c r="L1" s="3" t="str">
        <x:v>Independent Model Judge Scores</x:v>
      </x:c>
      <x:c r="M1" s="3" t="str">
        <x:v>Independent Model Judge Scores</x:v>
      </x:c>
    </x:row>
    <x:row r="2" ht="30" customHeight="1">
      <x:c r="A2" s="7" t="str">
        <x:v>Keep this sheet hidden from human raters until both rating sheets are locked.</x:v>
      </x:c>
      <x:c r="B2" s="7" t="str">
        <x:v>Keep this sheet hidden from human raters until both rating sheets are locked.</x:v>
      </x:c>
      <x:c r="C2" s="7" t="str">
        <x:v>Keep this sheet hidden from human raters until both rating sheets are locked.</x:v>
      </x:c>
      <x:c r="D2" s="7" t="str">
        <x:v>Keep this sheet hidden from human raters until both rating sheets are locked.</x:v>
      </x:c>
      <x:c r="E2" s="7" t="str">
        <x:v>Keep this sheet hidden from human raters until both rating sheets are locked.</x:v>
      </x:c>
      <x:c r="F2" s="7" t="str">
        <x:v>Keep this sheet hidden from human raters until both rating sheets are locked.</x:v>
      </x:c>
      <x:c r="G2" s="7" t="str">
        <x:v>Keep this sheet hidden from human raters until both rating sheets are locked.</x:v>
      </x:c>
      <x:c r="H2" s="7" t="str">
        <x:v>Keep this sheet hidden from human raters until both rating sheets are locked.</x:v>
      </x:c>
      <x:c r="I2" s="7" t="str">
        <x:v>Keep this sheet hidden from human raters until both rating sheets are locked.</x:v>
      </x:c>
      <x:c r="J2" s="7" t="str">
        <x:v>Keep this sheet hidden from human raters until both rating sheets are locked.</x:v>
      </x:c>
      <x:c r="K2" s="7" t="str">
        <x:v>Keep this sheet hidden from human raters until both rating sheets are locked.</x:v>
      </x:c>
      <x:c r="L2" s="7" t="str">
        <x:v>Keep this sheet hidden from human raters until both rating sheets are locked.</x:v>
      </x:c>
      <x:c r="M2" s="7" t="str">
        <x:v>Keep this sheet hidden from human raters until both rating sheets are locked.</x:v>
      </x:c>
    </x:row>
    <x:row r="4" ht="30" customHeight="1">
      <x:c r="A4" s="14" t="str">
        <x:v>sample_id</x:v>
      </x:c>
      <x:c r="B4" s="58" t="str">
        <x:v>product_score</x:v>
      </x:c>
      <x:c r="C4" s="58" t="str">
        <x:v>logo_raw_score</x:v>
      </x:c>
      <x:c r="D4" s="58" t="str">
        <x:v>logo_policy_score</x:v>
      </x:c>
      <x:c r="E4" s="58" t="str">
        <x:v>logo_hard_failure_code</x:v>
      </x:c>
      <x:c r="F4" s="58" t="str">
        <x:v>color_score</x:v>
      </x:c>
      <x:c r="G4" s="58" t="str">
        <x:v>overall_score</x:v>
      </x:c>
      <x:c r="H4" s="58" t="str">
        <x:v>pass_status</x:v>
      </x:c>
      <x:c r="I4" s="58" t="str">
        <x:v>provider</x:v>
      </x:c>
      <x:c r="J4" s="58" t="str">
        <x:v>model</x:v>
      </x:c>
      <x:c r="K4" s="58" t="str">
        <x:v>estimated_cost_usd</x:v>
      </x:c>
      <x:c r="L4" s="58" t="str">
        <x:v>report_reference</x:v>
      </x:c>
      <x:c r="M4" s="15" t="str">
        <x:v>locked</x:v>
      </x:c>
    </x:row>
    <x:row r="5">
      <x:c r="A5" s="23" t="str">
        <x:v>AR-P01-US</x:v>
      </x:c>
      <x:c r="B5" s="86"/>
      <x:c r="C5" s="86"/>
      <x:c r="D5" s="86"/>
      <x:c r="E5" s="86"/>
      <x:c r="F5" s="86"/>
      <x:c r="G5" s="87" t="str">
        <x:f>IF('Sample Manifest'!H5="present",IF(COUNT(B5,D5,F5)=3,B5*0.5+D5*0.3+F5*0.2,""),IF(COUNT(B5,F5)=2,(B5*0.5+F5*0.2)/0.7,""))</x:f>
      </x:c>
      <x:c r="H5" s="65"/>
      <x:c r="I5" s="65"/>
      <x:c r="J5" s="65"/>
      <x:c r="K5" s="92"/>
      <x:c r="L5" s="65"/>
      <x:c r="M5" s="68"/>
    </x:row>
    <x:row r="6">
      <x:c r="A6" s="25" t="str">
        <x:v>AR-P01-DE</x:v>
      </x:c>
      <x:c r="B6" s="88"/>
      <x:c r="C6" s="88"/>
      <x:c r="D6" s="88"/>
      <x:c r="E6" s="88"/>
      <x:c r="F6" s="88"/>
      <x:c r="G6" s="89" t="str">
        <x:f>IF('Sample Manifest'!H6="present",IF(COUNT(B6,D6,F6)=3,B6*0.5+D6*0.3+F6*0.2,""),IF(COUNT(B6,F6)=2,(B6*0.5+F6*0.2)/0.7,""))</x:f>
      </x:c>
      <x:c r="H6" s="66"/>
      <x:c r="I6" s="66"/>
      <x:c r="J6" s="66"/>
      <x:c r="K6" s="93"/>
      <x:c r="L6" s="66"/>
      <x:c r="M6" s="69"/>
    </x:row>
    <x:row r="7">
      <x:c r="A7" s="25" t="str">
        <x:v>AR-P01-JP</x:v>
      </x:c>
      <x:c r="B7" s="88"/>
      <x:c r="C7" s="88"/>
      <x:c r="D7" s="88"/>
      <x:c r="E7" s="88"/>
      <x:c r="F7" s="88"/>
      <x:c r="G7" s="89" t="str">
        <x:f>IF('Sample Manifest'!H7="present",IF(COUNT(B7,D7,F7)=3,B7*0.5+D7*0.3+F7*0.2,""),IF(COUNT(B7,F7)=2,(B7*0.5+F7*0.2)/0.7,""))</x:f>
      </x:c>
      <x:c r="H7" s="66"/>
      <x:c r="I7" s="66"/>
      <x:c r="J7" s="66"/>
      <x:c r="K7" s="93"/>
      <x:c r="L7" s="66"/>
      <x:c r="M7" s="69"/>
    </x:row>
    <x:row r="8">
      <x:c r="A8" s="25" t="str">
        <x:v>AR-P01-KR</x:v>
      </x:c>
      <x:c r="B8" s="88"/>
      <x:c r="C8" s="88"/>
      <x:c r="D8" s="88"/>
      <x:c r="E8" s="88"/>
      <x:c r="F8" s="88"/>
      <x:c r="G8" s="89" t="str">
        <x:f>IF('Sample Manifest'!H8="present",IF(COUNT(B8,D8,F8)=3,B8*0.5+D8*0.3+F8*0.2,""),IF(COUNT(B8,F8)=2,(B8*0.5+F8*0.2)/0.7,""))</x:f>
      </x:c>
      <x:c r="H8" s="66"/>
      <x:c r="I8" s="66"/>
      <x:c r="J8" s="66"/>
      <x:c r="K8" s="93"/>
      <x:c r="L8" s="66"/>
      <x:c r="M8" s="69"/>
    </x:row>
    <x:row r="9">
      <x:c r="A9" s="25" t="str">
        <x:v>AR-P01-AE</x:v>
      </x:c>
      <x:c r="B9" s="88"/>
      <x:c r="C9" s="88"/>
      <x:c r="D9" s="88"/>
      <x:c r="E9" s="88"/>
      <x:c r="F9" s="88"/>
      <x:c r="G9" s="89" t="str">
        <x:f>IF('Sample Manifest'!H9="present",IF(COUNT(B9,D9,F9)=3,B9*0.5+D9*0.3+F9*0.2,""),IF(COUNT(B9,F9)=2,(B9*0.5+F9*0.2)/0.7,""))</x:f>
      </x:c>
      <x:c r="H9" s="66"/>
      <x:c r="I9" s="66"/>
      <x:c r="J9" s="66"/>
      <x:c r="K9" s="93"/>
      <x:c r="L9" s="66"/>
      <x:c r="M9" s="69"/>
    </x:row>
    <x:row r="10">
      <x:c r="A10" s="25" t="str">
        <x:v>AR-P02-US</x:v>
      </x:c>
      <x:c r="B10" s="88"/>
      <x:c r="C10" s="88"/>
      <x:c r="D10" s="88"/>
      <x:c r="E10" s="88"/>
      <x:c r="F10" s="88"/>
      <x:c r="G10" s="89" t="str">
        <x:f>IF('Sample Manifest'!H10="present",IF(COUNT(B10,D10,F10)=3,B10*0.5+D10*0.3+F10*0.2,""),IF(COUNT(B10,F10)=2,(B10*0.5+F10*0.2)/0.7,""))</x:f>
      </x:c>
      <x:c r="H10" s="66"/>
      <x:c r="I10" s="66"/>
      <x:c r="J10" s="66"/>
      <x:c r="K10" s="93"/>
      <x:c r="L10" s="66"/>
      <x:c r="M10" s="69"/>
    </x:row>
    <x:row r="11">
      <x:c r="A11" s="25" t="str">
        <x:v>AR-P02-DE</x:v>
      </x:c>
      <x:c r="B11" s="88"/>
      <x:c r="C11" s="88"/>
      <x:c r="D11" s="88"/>
      <x:c r="E11" s="88"/>
      <x:c r="F11" s="88"/>
      <x:c r="G11" s="89" t="str">
        <x:f>IF('Sample Manifest'!H11="present",IF(COUNT(B11,D11,F11)=3,B11*0.5+D11*0.3+F11*0.2,""),IF(COUNT(B11,F11)=2,(B11*0.5+F11*0.2)/0.7,""))</x:f>
      </x:c>
      <x:c r="H11" s="66"/>
      <x:c r="I11" s="66"/>
      <x:c r="J11" s="66"/>
      <x:c r="K11" s="93"/>
      <x:c r="L11" s="66"/>
      <x:c r="M11" s="69"/>
    </x:row>
    <x:row r="12">
      <x:c r="A12" s="25" t="str">
        <x:v>AR-P02-JP</x:v>
      </x:c>
      <x:c r="B12" s="88"/>
      <x:c r="C12" s="88"/>
      <x:c r="D12" s="88"/>
      <x:c r="E12" s="88"/>
      <x:c r="F12" s="88"/>
      <x:c r="G12" s="89" t="str">
        <x:f>IF('Sample Manifest'!H12="present",IF(COUNT(B12,D12,F12)=3,B12*0.5+D12*0.3+F12*0.2,""),IF(COUNT(B12,F12)=2,(B12*0.5+F12*0.2)/0.7,""))</x:f>
      </x:c>
      <x:c r="H12" s="66"/>
      <x:c r="I12" s="66"/>
      <x:c r="J12" s="66"/>
      <x:c r="K12" s="93"/>
      <x:c r="L12" s="66"/>
      <x:c r="M12" s="69"/>
    </x:row>
    <x:row r="13">
      <x:c r="A13" s="25" t="str">
        <x:v>AR-P02-KR</x:v>
      </x:c>
      <x:c r="B13" s="88"/>
      <x:c r="C13" s="88"/>
      <x:c r="D13" s="88"/>
      <x:c r="E13" s="88"/>
      <x:c r="F13" s="88"/>
      <x:c r="G13" s="89" t="str">
        <x:f>IF('Sample Manifest'!H13="present",IF(COUNT(B13,D13,F13)=3,B13*0.5+D13*0.3+F13*0.2,""),IF(COUNT(B13,F13)=2,(B13*0.5+F13*0.2)/0.7,""))</x:f>
      </x:c>
      <x:c r="H13" s="66"/>
      <x:c r="I13" s="66"/>
      <x:c r="J13" s="66"/>
      <x:c r="K13" s="93"/>
      <x:c r="L13" s="66"/>
      <x:c r="M13" s="69"/>
    </x:row>
    <x:row r="14">
      <x:c r="A14" s="25" t="str">
        <x:v>AR-P02-AE</x:v>
      </x:c>
      <x:c r="B14" s="88"/>
      <x:c r="C14" s="88"/>
      <x:c r="D14" s="88"/>
      <x:c r="E14" s="88"/>
      <x:c r="F14" s="88"/>
      <x:c r="G14" s="89" t="str">
        <x:f>IF('Sample Manifest'!H14="present",IF(COUNT(B14,D14,F14)=3,B14*0.5+D14*0.3+F14*0.2,""),IF(COUNT(B14,F14)=2,(B14*0.5+F14*0.2)/0.7,""))</x:f>
      </x:c>
      <x:c r="H14" s="66"/>
      <x:c r="I14" s="66"/>
      <x:c r="J14" s="66"/>
      <x:c r="K14" s="93"/>
      <x:c r="L14" s="66"/>
      <x:c r="M14" s="69"/>
    </x:row>
    <x:row r="15">
      <x:c r="A15" s="25" t="str">
        <x:v>AR-P03-US</x:v>
      </x:c>
      <x:c r="B15" s="88"/>
      <x:c r="C15" s="88"/>
      <x:c r="D15" s="88"/>
      <x:c r="E15" s="88"/>
      <x:c r="F15" s="88"/>
      <x:c r="G15" s="89" t="str">
        <x:f>IF('Sample Manifest'!H15="present",IF(COUNT(B15,D15,F15)=3,B15*0.5+D15*0.3+F15*0.2,""),IF(COUNT(B15,F15)=2,(B15*0.5+F15*0.2)/0.7,""))</x:f>
      </x:c>
      <x:c r="H15" s="66"/>
      <x:c r="I15" s="66"/>
      <x:c r="J15" s="66"/>
      <x:c r="K15" s="93"/>
      <x:c r="L15" s="66"/>
      <x:c r="M15" s="69"/>
    </x:row>
    <x:row r="16">
      <x:c r="A16" s="25" t="str">
        <x:v>AR-P03-DE</x:v>
      </x:c>
      <x:c r="B16" s="88"/>
      <x:c r="C16" s="88"/>
      <x:c r="D16" s="88"/>
      <x:c r="E16" s="88"/>
      <x:c r="F16" s="88"/>
      <x:c r="G16" s="89" t="str">
        <x:f>IF('Sample Manifest'!H16="present",IF(COUNT(B16,D16,F16)=3,B16*0.5+D16*0.3+F16*0.2,""),IF(COUNT(B16,F16)=2,(B16*0.5+F16*0.2)/0.7,""))</x:f>
      </x:c>
      <x:c r="H16" s="66"/>
      <x:c r="I16" s="66"/>
      <x:c r="J16" s="66"/>
      <x:c r="K16" s="93"/>
      <x:c r="L16" s="66"/>
      <x:c r="M16" s="69"/>
    </x:row>
    <x:row r="17">
      <x:c r="A17" s="25" t="str">
        <x:v>AR-P03-JP</x:v>
      </x:c>
      <x:c r="B17" s="88"/>
      <x:c r="C17" s="88"/>
      <x:c r="D17" s="88"/>
      <x:c r="E17" s="88"/>
      <x:c r="F17" s="88"/>
      <x:c r="G17" s="89" t="str">
        <x:f>IF('Sample Manifest'!H17="present",IF(COUNT(B17,D17,F17)=3,B17*0.5+D17*0.3+F17*0.2,""),IF(COUNT(B17,F17)=2,(B17*0.5+F17*0.2)/0.7,""))</x:f>
      </x:c>
      <x:c r="H17" s="66"/>
      <x:c r="I17" s="66"/>
      <x:c r="J17" s="66"/>
      <x:c r="K17" s="93"/>
      <x:c r="L17" s="66"/>
      <x:c r="M17" s="69"/>
    </x:row>
    <x:row r="18">
      <x:c r="A18" s="25" t="str">
        <x:v>AR-P03-KR</x:v>
      </x:c>
      <x:c r="B18" s="88"/>
      <x:c r="C18" s="88"/>
      <x:c r="D18" s="88"/>
      <x:c r="E18" s="88"/>
      <x:c r="F18" s="88"/>
      <x:c r="G18" s="89" t="str">
        <x:f>IF('Sample Manifest'!H18="present",IF(COUNT(B18,D18,F18)=3,B18*0.5+D18*0.3+F18*0.2,""),IF(COUNT(B18,F18)=2,(B18*0.5+F18*0.2)/0.7,""))</x:f>
      </x:c>
      <x:c r="H18" s="66"/>
      <x:c r="I18" s="66"/>
      <x:c r="J18" s="66"/>
      <x:c r="K18" s="93"/>
      <x:c r="L18" s="66"/>
      <x:c r="M18" s="69"/>
    </x:row>
    <x:row r="19">
      <x:c r="A19" s="25" t="str">
        <x:v>AR-P03-AE</x:v>
      </x:c>
      <x:c r="B19" s="88"/>
      <x:c r="C19" s="88"/>
      <x:c r="D19" s="88"/>
      <x:c r="E19" s="88"/>
      <x:c r="F19" s="88"/>
      <x:c r="G19" s="89" t="str">
        <x:f>IF('Sample Manifest'!H19="present",IF(COUNT(B19,D19,F19)=3,B19*0.5+D19*0.3+F19*0.2,""),IF(COUNT(B19,F19)=2,(B19*0.5+F19*0.2)/0.7,""))</x:f>
      </x:c>
      <x:c r="H19" s="66"/>
      <x:c r="I19" s="66"/>
      <x:c r="J19" s="66"/>
      <x:c r="K19" s="93"/>
      <x:c r="L19" s="66"/>
      <x:c r="M19" s="69"/>
    </x:row>
    <x:row r="20">
      <x:c r="A20" s="25" t="str">
        <x:v>AR-P04-US</x:v>
      </x:c>
      <x:c r="B20" s="88"/>
      <x:c r="C20" s="88"/>
      <x:c r="D20" s="88"/>
      <x:c r="E20" s="88"/>
      <x:c r="F20" s="88"/>
      <x:c r="G20" s="89" t="str">
        <x:f>IF('Sample Manifest'!H20="present",IF(COUNT(B20,D20,F20)=3,B20*0.5+D20*0.3+F20*0.2,""),IF(COUNT(B20,F20)=2,(B20*0.5+F20*0.2)/0.7,""))</x:f>
      </x:c>
      <x:c r="H20" s="66"/>
      <x:c r="I20" s="66"/>
      <x:c r="J20" s="66"/>
      <x:c r="K20" s="93"/>
      <x:c r="L20" s="66"/>
      <x:c r="M20" s="69"/>
    </x:row>
    <x:row r="21">
      <x:c r="A21" s="25" t="str">
        <x:v>AR-P04-DE</x:v>
      </x:c>
      <x:c r="B21" s="88"/>
      <x:c r="C21" s="88"/>
      <x:c r="D21" s="88"/>
      <x:c r="E21" s="88"/>
      <x:c r="F21" s="88"/>
      <x:c r="G21" s="89" t="str">
        <x:f>IF('Sample Manifest'!H21="present",IF(COUNT(B21,D21,F21)=3,B21*0.5+D21*0.3+F21*0.2,""),IF(COUNT(B21,F21)=2,(B21*0.5+F21*0.2)/0.7,""))</x:f>
      </x:c>
      <x:c r="H21" s="66"/>
      <x:c r="I21" s="66"/>
      <x:c r="J21" s="66"/>
      <x:c r="K21" s="93"/>
      <x:c r="L21" s="66"/>
      <x:c r="M21" s="69"/>
    </x:row>
    <x:row r="22">
      <x:c r="A22" s="25" t="str">
        <x:v>AR-P04-JP</x:v>
      </x:c>
      <x:c r="B22" s="88"/>
      <x:c r="C22" s="88"/>
      <x:c r="D22" s="88"/>
      <x:c r="E22" s="88"/>
      <x:c r="F22" s="88"/>
      <x:c r="G22" s="89" t="str">
        <x:f>IF('Sample Manifest'!H22="present",IF(COUNT(B22,D22,F22)=3,B22*0.5+D22*0.3+F22*0.2,""),IF(COUNT(B22,F22)=2,(B22*0.5+F22*0.2)/0.7,""))</x:f>
      </x:c>
      <x:c r="H22" s="66"/>
      <x:c r="I22" s="66"/>
      <x:c r="J22" s="66"/>
      <x:c r="K22" s="93"/>
      <x:c r="L22" s="66"/>
      <x:c r="M22" s="69"/>
    </x:row>
    <x:row r="23">
      <x:c r="A23" s="25" t="str">
        <x:v>AR-P04-KR</x:v>
      </x:c>
      <x:c r="B23" s="88"/>
      <x:c r="C23" s="88"/>
      <x:c r="D23" s="88"/>
      <x:c r="E23" s="88"/>
      <x:c r="F23" s="88"/>
      <x:c r="G23" s="89" t="str">
        <x:f>IF('Sample Manifest'!H23="present",IF(COUNT(B23,D23,F23)=3,B23*0.5+D23*0.3+F23*0.2,""),IF(COUNT(B23,F23)=2,(B23*0.5+F23*0.2)/0.7,""))</x:f>
      </x:c>
      <x:c r="H23" s="66"/>
      <x:c r="I23" s="66"/>
      <x:c r="J23" s="66"/>
      <x:c r="K23" s="93"/>
      <x:c r="L23" s="66"/>
      <x:c r="M23" s="69"/>
    </x:row>
    <x:row r="24">
      <x:c r="A24" s="25" t="str">
        <x:v>AR-P04-AE</x:v>
      </x:c>
      <x:c r="B24" s="88"/>
      <x:c r="C24" s="88"/>
      <x:c r="D24" s="88"/>
      <x:c r="E24" s="88"/>
      <x:c r="F24" s="88"/>
      <x:c r="G24" s="89" t="str">
        <x:f>IF('Sample Manifest'!H24="present",IF(COUNT(B24,D24,F24)=3,B24*0.5+D24*0.3+F24*0.2,""),IF(COUNT(B24,F24)=2,(B24*0.5+F24*0.2)/0.7,""))</x:f>
      </x:c>
      <x:c r="H24" s="66"/>
      <x:c r="I24" s="66"/>
      <x:c r="J24" s="66"/>
      <x:c r="K24" s="93"/>
      <x:c r="L24" s="66"/>
      <x:c r="M24" s="69"/>
    </x:row>
    <x:row r="25">
      <x:c r="A25" s="25" t="str">
        <x:v>AR-P05-US</x:v>
      </x:c>
      <x:c r="B25" s="88"/>
      <x:c r="C25" s="88"/>
      <x:c r="D25" s="88"/>
      <x:c r="E25" s="88"/>
      <x:c r="F25" s="88"/>
      <x:c r="G25" s="89" t="str">
        <x:f>IF('Sample Manifest'!H25="present",IF(COUNT(B25,D25,F25)=3,B25*0.5+D25*0.3+F25*0.2,""),IF(COUNT(B25,F25)=2,(B25*0.5+F25*0.2)/0.7,""))</x:f>
      </x:c>
      <x:c r="H25" s="66"/>
      <x:c r="I25" s="66"/>
      <x:c r="J25" s="66"/>
      <x:c r="K25" s="93"/>
      <x:c r="L25" s="66"/>
      <x:c r="M25" s="69"/>
    </x:row>
    <x:row r="26">
      <x:c r="A26" s="25" t="str">
        <x:v>AR-P05-DE</x:v>
      </x:c>
      <x:c r="B26" s="88"/>
      <x:c r="C26" s="88"/>
      <x:c r="D26" s="88"/>
      <x:c r="E26" s="88"/>
      <x:c r="F26" s="88"/>
      <x:c r="G26" s="89" t="str">
        <x:f>IF('Sample Manifest'!H26="present",IF(COUNT(B26,D26,F26)=3,B26*0.5+D26*0.3+F26*0.2,""),IF(COUNT(B26,F26)=2,(B26*0.5+F26*0.2)/0.7,""))</x:f>
      </x:c>
      <x:c r="H26" s="66"/>
      <x:c r="I26" s="66"/>
      <x:c r="J26" s="66"/>
      <x:c r="K26" s="93"/>
      <x:c r="L26" s="66"/>
      <x:c r="M26" s="69"/>
    </x:row>
    <x:row r="27">
      <x:c r="A27" s="25" t="str">
        <x:v>AR-P05-JP</x:v>
      </x:c>
      <x:c r="B27" s="88"/>
      <x:c r="C27" s="88"/>
      <x:c r="D27" s="88"/>
      <x:c r="E27" s="88"/>
      <x:c r="F27" s="88"/>
      <x:c r="G27" s="89" t="str">
        <x:f>IF('Sample Manifest'!H27="present",IF(COUNT(B27,D27,F27)=3,B27*0.5+D27*0.3+F27*0.2,""),IF(COUNT(B27,F27)=2,(B27*0.5+F27*0.2)/0.7,""))</x:f>
      </x:c>
      <x:c r="H27" s="66"/>
      <x:c r="I27" s="66"/>
      <x:c r="J27" s="66"/>
      <x:c r="K27" s="93"/>
      <x:c r="L27" s="66"/>
      <x:c r="M27" s="69"/>
    </x:row>
    <x:row r="28">
      <x:c r="A28" s="25" t="str">
        <x:v>AR-P05-KR</x:v>
      </x:c>
      <x:c r="B28" s="88"/>
      <x:c r="C28" s="88"/>
      <x:c r="D28" s="88"/>
      <x:c r="E28" s="88"/>
      <x:c r="F28" s="88"/>
      <x:c r="G28" s="89" t="str">
        <x:f>IF('Sample Manifest'!H28="present",IF(COUNT(B28,D28,F28)=3,B28*0.5+D28*0.3+F28*0.2,""),IF(COUNT(B28,F28)=2,(B28*0.5+F28*0.2)/0.7,""))</x:f>
      </x:c>
      <x:c r="H28" s="66"/>
      <x:c r="I28" s="66"/>
      <x:c r="J28" s="66"/>
      <x:c r="K28" s="93"/>
      <x:c r="L28" s="66"/>
      <x:c r="M28" s="69"/>
    </x:row>
    <x:row r="29">
      <x:c r="A29" s="25" t="str">
        <x:v>AR-P05-AE</x:v>
      </x:c>
      <x:c r="B29" s="88"/>
      <x:c r="C29" s="88"/>
      <x:c r="D29" s="88"/>
      <x:c r="E29" s="88"/>
      <x:c r="F29" s="88"/>
      <x:c r="G29" s="89" t="str">
        <x:f>IF('Sample Manifest'!H29="present",IF(COUNT(B29,D29,F29)=3,B29*0.5+D29*0.3+F29*0.2,""),IF(COUNT(B29,F29)=2,(B29*0.5+F29*0.2)/0.7,""))</x:f>
      </x:c>
      <x:c r="H29" s="66"/>
      <x:c r="I29" s="66"/>
      <x:c r="J29" s="66"/>
      <x:c r="K29" s="93"/>
      <x:c r="L29" s="66"/>
      <x:c r="M29" s="69"/>
    </x:row>
    <x:row r="30">
      <x:c r="A30" s="25" t="str">
        <x:v>AR-P06-US</x:v>
      </x:c>
      <x:c r="B30" s="88"/>
      <x:c r="C30" s="88"/>
      <x:c r="D30" s="88"/>
      <x:c r="E30" s="88"/>
      <x:c r="F30" s="88"/>
      <x:c r="G30" s="89" t="str">
        <x:f>IF('Sample Manifest'!H30="present",IF(COUNT(B30,D30,F30)=3,B30*0.5+D30*0.3+F30*0.2,""),IF(COUNT(B30,F30)=2,(B30*0.5+F30*0.2)/0.7,""))</x:f>
      </x:c>
      <x:c r="H30" s="66"/>
      <x:c r="I30" s="66"/>
      <x:c r="J30" s="66"/>
      <x:c r="K30" s="93"/>
      <x:c r="L30" s="66"/>
      <x:c r="M30" s="69"/>
    </x:row>
    <x:row r="31">
      <x:c r="A31" s="25" t="str">
        <x:v>AR-P06-DE</x:v>
      </x:c>
      <x:c r="B31" s="88"/>
      <x:c r="C31" s="88"/>
      <x:c r="D31" s="88"/>
      <x:c r="E31" s="88"/>
      <x:c r="F31" s="88"/>
      <x:c r="G31" s="89" t="str">
        <x:f>IF('Sample Manifest'!H31="present",IF(COUNT(B31,D31,F31)=3,B31*0.5+D31*0.3+F31*0.2,""),IF(COUNT(B31,F31)=2,(B31*0.5+F31*0.2)/0.7,""))</x:f>
      </x:c>
      <x:c r="H31" s="66"/>
      <x:c r="I31" s="66"/>
      <x:c r="J31" s="66"/>
      <x:c r="K31" s="93"/>
      <x:c r="L31" s="66"/>
      <x:c r="M31" s="69"/>
    </x:row>
    <x:row r="32">
      <x:c r="A32" s="25" t="str">
        <x:v>AR-P06-JP</x:v>
      </x:c>
      <x:c r="B32" s="88"/>
      <x:c r="C32" s="88"/>
      <x:c r="D32" s="88"/>
      <x:c r="E32" s="88"/>
      <x:c r="F32" s="88"/>
      <x:c r="G32" s="89" t="str">
        <x:f>IF('Sample Manifest'!H32="present",IF(COUNT(B32,D32,F32)=3,B32*0.5+D32*0.3+F32*0.2,""),IF(COUNT(B32,F32)=2,(B32*0.5+F32*0.2)/0.7,""))</x:f>
      </x:c>
      <x:c r="H32" s="66"/>
      <x:c r="I32" s="66"/>
      <x:c r="J32" s="66"/>
      <x:c r="K32" s="93"/>
      <x:c r="L32" s="66"/>
      <x:c r="M32" s="69"/>
    </x:row>
    <x:row r="33">
      <x:c r="A33" s="25" t="str">
        <x:v>AR-P06-KR</x:v>
      </x:c>
      <x:c r="B33" s="88"/>
      <x:c r="C33" s="88"/>
      <x:c r="D33" s="88"/>
      <x:c r="E33" s="88"/>
      <x:c r="F33" s="88"/>
      <x:c r="G33" s="89" t="str">
        <x:f>IF('Sample Manifest'!H33="present",IF(COUNT(B33,D33,F33)=3,B33*0.5+D33*0.3+F33*0.2,""),IF(COUNT(B33,F33)=2,(B33*0.5+F33*0.2)/0.7,""))</x:f>
      </x:c>
      <x:c r="H33" s="66"/>
      <x:c r="I33" s="66"/>
      <x:c r="J33" s="66"/>
      <x:c r="K33" s="93"/>
      <x:c r="L33" s="66"/>
      <x:c r="M33" s="69"/>
    </x:row>
    <x:row r="34">
      <x:c r="A34" s="25" t="str">
        <x:v>AR-P06-AE</x:v>
      </x:c>
      <x:c r="B34" s="88"/>
      <x:c r="C34" s="88"/>
      <x:c r="D34" s="88"/>
      <x:c r="E34" s="88"/>
      <x:c r="F34" s="88"/>
      <x:c r="G34" s="89" t="str">
        <x:f>IF('Sample Manifest'!H34="present",IF(COUNT(B34,D34,F34)=3,B34*0.5+D34*0.3+F34*0.2,""),IF(COUNT(B34,F34)=2,(B34*0.5+F34*0.2)/0.7,""))</x:f>
      </x:c>
      <x:c r="H34" s="66"/>
      <x:c r="I34" s="66"/>
      <x:c r="J34" s="66"/>
      <x:c r="K34" s="93"/>
      <x:c r="L34" s="66"/>
      <x:c r="M34" s="69"/>
    </x:row>
    <x:row r="35">
      <x:c r="A35" s="25" t="str">
        <x:v>AR-P07-US</x:v>
      </x:c>
      <x:c r="B35" s="88"/>
      <x:c r="C35" s="88"/>
      <x:c r="D35" s="88"/>
      <x:c r="E35" s="88"/>
      <x:c r="F35" s="88"/>
      <x:c r="G35" s="89" t="str">
        <x:f>IF('Sample Manifest'!H35="present",IF(COUNT(B35,D35,F35)=3,B35*0.5+D35*0.3+F35*0.2,""),IF(COUNT(B35,F35)=2,(B35*0.5+F35*0.2)/0.7,""))</x:f>
      </x:c>
      <x:c r="H35" s="66"/>
      <x:c r="I35" s="66"/>
      <x:c r="J35" s="66"/>
      <x:c r="K35" s="93"/>
      <x:c r="L35" s="66"/>
      <x:c r="M35" s="69"/>
    </x:row>
    <x:row r="36">
      <x:c r="A36" s="25" t="str">
        <x:v>AR-P07-DE</x:v>
      </x:c>
      <x:c r="B36" s="88"/>
      <x:c r="C36" s="88"/>
      <x:c r="D36" s="88"/>
      <x:c r="E36" s="88"/>
      <x:c r="F36" s="88"/>
      <x:c r="G36" s="89" t="str">
        <x:f>IF('Sample Manifest'!H36="present",IF(COUNT(B36,D36,F36)=3,B36*0.5+D36*0.3+F36*0.2,""),IF(COUNT(B36,F36)=2,(B36*0.5+F36*0.2)/0.7,""))</x:f>
      </x:c>
      <x:c r="H36" s="66"/>
      <x:c r="I36" s="66"/>
      <x:c r="J36" s="66"/>
      <x:c r="K36" s="93"/>
      <x:c r="L36" s="66"/>
      <x:c r="M36" s="69"/>
    </x:row>
    <x:row r="37">
      <x:c r="A37" s="25" t="str">
        <x:v>AR-P07-JP</x:v>
      </x:c>
      <x:c r="B37" s="88"/>
      <x:c r="C37" s="88"/>
      <x:c r="D37" s="88"/>
      <x:c r="E37" s="88"/>
      <x:c r="F37" s="88"/>
      <x:c r="G37" s="89" t="str">
        <x:f>IF('Sample Manifest'!H37="present",IF(COUNT(B37,D37,F37)=3,B37*0.5+D37*0.3+F37*0.2,""),IF(COUNT(B37,F37)=2,(B37*0.5+F37*0.2)/0.7,""))</x:f>
      </x:c>
      <x:c r="H37" s="66"/>
      <x:c r="I37" s="66"/>
      <x:c r="J37" s="66"/>
      <x:c r="K37" s="93"/>
      <x:c r="L37" s="66"/>
      <x:c r="M37" s="69"/>
    </x:row>
    <x:row r="38">
      <x:c r="A38" s="25" t="str">
        <x:v>AR-P07-KR</x:v>
      </x:c>
      <x:c r="B38" s="88"/>
      <x:c r="C38" s="88"/>
      <x:c r="D38" s="88"/>
      <x:c r="E38" s="88"/>
      <x:c r="F38" s="88"/>
      <x:c r="G38" s="89" t="str">
        <x:f>IF('Sample Manifest'!H38="present",IF(COUNT(B38,D38,F38)=3,B38*0.5+D38*0.3+F38*0.2,""),IF(COUNT(B38,F38)=2,(B38*0.5+F38*0.2)/0.7,""))</x:f>
      </x:c>
      <x:c r="H38" s="66"/>
      <x:c r="I38" s="66"/>
      <x:c r="J38" s="66"/>
      <x:c r="K38" s="93"/>
      <x:c r="L38" s="66"/>
      <x:c r="M38" s="69"/>
    </x:row>
    <x:row r="39">
      <x:c r="A39" s="25" t="str">
        <x:v>AR-P07-AE</x:v>
      </x:c>
      <x:c r="B39" s="88"/>
      <x:c r="C39" s="88"/>
      <x:c r="D39" s="88"/>
      <x:c r="E39" s="88"/>
      <x:c r="F39" s="88"/>
      <x:c r="G39" s="89" t="str">
        <x:f>IF('Sample Manifest'!H39="present",IF(COUNT(B39,D39,F39)=3,B39*0.5+D39*0.3+F39*0.2,""),IF(COUNT(B39,F39)=2,(B39*0.5+F39*0.2)/0.7,""))</x:f>
      </x:c>
      <x:c r="H39" s="66"/>
      <x:c r="I39" s="66"/>
      <x:c r="J39" s="66"/>
      <x:c r="K39" s="93"/>
      <x:c r="L39" s="66"/>
      <x:c r="M39" s="69"/>
    </x:row>
    <x:row r="40">
      <x:c r="A40" s="25" t="str">
        <x:v>AR-P08-US</x:v>
      </x:c>
      <x:c r="B40" s="88"/>
      <x:c r="C40" s="88"/>
      <x:c r="D40" s="88"/>
      <x:c r="E40" s="88"/>
      <x:c r="F40" s="88"/>
      <x:c r="G40" s="89" t="str">
        <x:f>IF('Sample Manifest'!H40="present",IF(COUNT(B40,D40,F40)=3,B40*0.5+D40*0.3+F40*0.2,""),IF(COUNT(B40,F40)=2,(B40*0.5+F40*0.2)/0.7,""))</x:f>
      </x:c>
      <x:c r="H40" s="66"/>
      <x:c r="I40" s="66"/>
      <x:c r="J40" s="66"/>
      <x:c r="K40" s="93"/>
      <x:c r="L40" s="66"/>
      <x:c r="M40" s="69"/>
    </x:row>
    <x:row r="41">
      <x:c r="A41" s="25" t="str">
        <x:v>AR-P08-DE</x:v>
      </x:c>
      <x:c r="B41" s="88"/>
      <x:c r="C41" s="88"/>
      <x:c r="D41" s="88"/>
      <x:c r="E41" s="88"/>
      <x:c r="F41" s="88"/>
      <x:c r="G41" s="89" t="str">
        <x:f>IF('Sample Manifest'!H41="present",IF(COUNT(B41,D41,F41)=3,B41*0.5+D41*0.3+F41*0.2,""),IF(COUNT(B41,F41)=2,(B41*0.5+F41*0.2)/0.7,""))</x:f>
      </x:c>
      <x:c r="H41" s="66"/>
      <x:c r="I41" s="66"/>
      <x:c r="J41" s="66"/>
      <x:c r="K41" s="93"/>
      <x:c r="L41" s="66"/>
      <x:c r="M41" s="69"/>
    </x:row>
    <x:row r="42">
      <x:c r="A42" s="25" t="str">
        <x:v>AR-P08-JP</x:v>
      </x:c>
      <x:c r="B42" s="88"/>
      <x:c r="C42" s="88"/>
      <x:c r="D42" s="88"/>
      <x:c r="E42" s="88"/>
      <x:c r="F42" s="88"/>
      <x:c r="G42" s="89" t="str">
        <x:f>IF('Sample Manifest'!H42="present",IF(COUNT(B42,D42,F42)=3,B42*0.5+D42*0.3+F42*0.2,""),IF(COUNT(B42,F42)=2,(B42*0.5+F42*0.2)/0.7,""))</x:f>
      </x:c>
      <x:c r="H42" s="66"/>
      <x:c r="I42" s="66"/>
      <x:c r="J42" s="66"/>
      <x:c r="K42" s="93"/>
      <x:c r="L42" s="66"/>
      <x:c r="M42" s="69"/>
    </x:row>
    <x:row r="43">
      <x:c r="A43" s="25" t="str">
        <x:v>AR-P08-KR</x:v>
      </x:c>
      <x:c r="B43" s="88"/>
      <x:c r="C43" s="88"/>
      <x:c r="D43" s="88"/>
      <x:c r="E43" s="88"/>
      <x:c r="F43" s="88"/>
      <x:c r="G43" s="89" t="str">
        <x:f>IF('Sample Manifest'!H43="present",IF(COUNT(B43,D43,F43)=3,B43*0.5+D43*0.3+F43*0.2,""),IF(COUNT(B43,F43)=2,(B43*0.5+F43*0.2)/0.7,""))</x:f>
      </x:c>
      <x:c r="H43" s="66"/>
      <x:c r="I43" s="66"/>
      <x:c r="J43" s="66"/>
      <x:c r="K43" s="93"/>
      <x:c r="L43" s="66"/>
      <x:c r="M43" s="69"/>
    </x:row>
    <x:row r="44">
      <x:c r="A44" s="25" t="str">
        <x:v>AR-P08-AE</x:v>
      </x:c>
      <x:c r="B44" s="88"/>
      <x:c r="C44" s="88"/>
      <x:c r="D44" s="88"/>
      <x:c r="E44" s="88"/>
      <x:c r="F44" s="88"/>
      <x:c r="G44" s="89" t="str">
        <x:f>IF('Sample Manifest'!H44="present",IF(COUNT(B44,D44,F44)=3,B44*0.5+D44*0.3+F44*0.2,""),IF(COUNT(B44,F44)=2,(B44*0.5+F44*0.2)/0.7,""))</x:f>
      </x:c>
      <x:c r="H44" s="66"/>
      <x:c r="I44" s="66"/>
      <x:c r="J44" s="66"/>
      <x:c r="K44" s="93"/>
      <x:c r="L44" s="66"/>
      <x:c r="M44" s="69"/>
    </x:row>
    <x:row r="45">
      <x:c r="A45" s="25" t="str">
        <x:v>AR-P09-US</x:v>
      </x:c>
      <x:c r="B45" s="88"/>
      <x:c r="C45" s="88"/>
      <x:c r="D45" s="88"/>
      <x:c r="E45" s="88"/>
      <x:c r="F45" s="88"/>
      <x:c r="G45" s="89" t="str">
        <x:f>IF('Sample Manifest'!H45="present",IF(COUNT(B45,D45,F45)=3,B45*0.5+D45*0.3+F45*0.2,""),IF(COUNT(B45,F45)=2,(B45*0.5+F45*0.2)/0.7,""))</x:f>
      </x:c>
      <x:c r="H45" s="66"/>
      <x:c r="I45" s="66"/>
      <x:c r="J45" s="66"/>
      <x:c r="K45" s="93"/>
      <x:c r="L45" s="66"/>
      <x:c r="M45" s="69"/>
    </x:row>
    <x:row r="46">
      <x:c r="A46" s="25" t="str">
        <x:v>AR-P09-DE</x:v>
      </x:c>
      <x:c r="B46" s="88"/>
      <x:c r="C46" s="88"/>
      <x:c r="D46" s="88"/>
      <x:c r="E46" s="88"/>
      <x:c r="F46" s="88"/>
      <x:c r="G46" s="89" t="str">
        <x:f>IF('Sample Manifest'!H46="present",IF(COUNT(B46,D46,F46)=3,B46*0.5+D46*0.3+F46*0.2,""),IF(COUNT(B46,F46)=2,(B46*0.5+F46*0.2)/0.7,""))</x:f>
      </x:c>
      <x:c r="H46" s="66"/>
      <x:c r="I46" s="66"/>
      <x:c r="J46" s="66"/>
      <x:c r="K46" s="93"/>
      <x:c r="L46" s="66"/>
      <x:c r="M46" s="69"/>
    </x:row>
    <x:row r="47">
      <x:c r="A47" s="25" t="str">
        <x:v>AR-P09-JP</x:v>
      </x:c>
      <x:c r="B47" s="88"/>
      <x:c r="C47" s="88"/>
      <x:c r="D47" s="88"/>
      <x:c r="E47" s="88"/>
      <x:c r="F47" s="88"/>
      <x:c r="G47" s="89" t="str">
        <x:f>IF('Sample Manifest'!H47="present",IF(COUNT(B47,D47,F47)=3,B47*0.5+D47*0.3+F47*0.2,""),IF(COUNT(B47,F47)=2,(B47*0.5+F47*0.2)/0.7,""))</x:f>
      </x:c>
      <x:c r="H47" s="66"/>
      <x:c r="I47" s="66"/>
      <x:c r="J47" s="66"/>
      <x:c r="K47" s="93"/>
      <x:c r="L47" s="66"/>
      <x:c r="M47" s="69"/>
    </x:row>
    <x:row r="48">
      <x:c r="A48" s="25" t="str">
        <x:v>AR-P09-KR</x:v>
      </x:c>
      <x:c r="B48" s="88"/>
      <x:c r="C48" s="88"/>
      <x:c r="D48" s="88"/>
      <x:c r="E48" s="88"/>
      <x:c r="F48" s="88"/>
      <x:c r="G48" s="89" t="str">
        <x:f>IF('Sample Manifest'!H48="present",IF(COUNT(B48,D48,F48)=3,B48*0.5+D48*0.3+F48*0.2,""),IF(COUNT(B48,F48)=2,(B48*0.5+F48*0.2)/0.7,""))</x:f>
      </x:c>
      <x:c r="H48" s="66"/>
      <x:c r="I48" s="66"/>
      <x:c r="J48" s="66"/>
      <x:c r="K48" s="93"/>
      <x:c r="L48" s="66"/>
      <x:c r="M48" s="69"/>
    </x:row>
    <x:row r="49">
      <x:c r="A49" s="25" t="str">
        <x:v>AR-P09-AE</x:v>
      </x:c>
      <x:c r="B49" s="88"/>
      <x:c r="C49" s="88"/>
      <x:c r="D49" s="88"/>
      <x:c r="E49" s="88"/>
      <x:c r="F49" s="88"/>
      <x:c r="G49" s="89" t="str">
        <x:f>IF('Sample Manifest'!H49="present",IF(COUNT(B49,D49,F49)=3,B49*0.5+D49*0.3+F49*0.2,""),IF(COUNT(B49,F49)=2,(B49*0.5+F49*0.2)/0.7,""))</x:f>
      </x:c>
      <x:c r="H49" s="66"/>
      <x:c r="I49" s="66"/>
      <x:c r="J49" s="66"/>
      <x:c r="K49" s="93"/>
      <x:c r="L49" s="66"/>
      <x:c r="M49" s="69"/>
    </x:row>
    <x:row r="50">
      <x:c r="A50" s="25" t="str">
        <x:v>AR-P10-US</x:v>
      </x:c>
      <x:c r="B50" s="88"/>
      <x:c r="C50" s="88"/>
      <x:c r="D50" s="88"/>
      <x:c r="E50" s="88"/>
      <x:c r="F50" s="88"/>
      <x:c r="G50" s="89" t="str">
        <x:f>IF('Sample Manifest'!H50="present",IF(COUNT(B50,D50,F50)=3,B50*0.5+D50*0.3+F50*0.2,""),IF(COUNT(B50,F50)=2,(B50*0.5+F50*0.2)/0.7,""))</x:f>
      </x:c>
      <x:c r="H50" s="66"/>
      <x:c r="I50" s="66"/>
      <x:c r="J50" s="66"/>
      <x:c r="K50" s="93"/>
      <x:c r="L50" s="66"/>
      <x:c r="M50" s="69"/>
    </x:row>
    <x:row r="51">
      <x:c r="A51" s="25" t="str">
        <x:v>AR-P10-DE</x:v>
      </x:c>
      <x:c r="B51" s="88"/>
      <x:c r="C51" s="88"/>
      <x:c r="D51" s="88"/>
      <x:c r="E51" s="88"/>
      <x:c r="F51" s="88"/>
      <x:c r="G51" s="89" t="str">
        <x:f>IF('Sample Manifest'!H51="present",IF(COUNT(B51,D51,F51)=3,B51*0.5+D51*0.3+F51*0.2,""),IF(COUNT(B51,F51)=2,(B51*0.5+F51*0.2)/0.7,""))</x:f>
      </x:c>
      <x:c r="H51" s="66"/>
      <x:c r="I51" s="66"/>
      <x:c r="J51" s="66"/>
      <x:c r="K51" s="93"/>
      <x:c r="L51" s="66"/>
      <x:c r="M51" s="69"/>
    </x:row>
    <x:row r="52">
      <x:c r="A52" s="25" t="str">
        <x:v>AR-P10-JP</x:v>
      </x:c>
      <x:c r="B52" s="88"/>
      <x:c r="C52" s="88"/>
      <x:c r="D52" s="88"/>
      <x:c r="E52" s="88"/>
      <x:c r="F52" s="88"/>
      <x:c r="G52" s="89" t="str">
        <x:f>IF('Sample Manifest'!H52="present",IF(COUNT(B52,D52,F52)=3,B52*0.5+D52*0.3+F52*0.2,""),IF(COUNT(B52,F52)=2,(B52*0.5+F52*0.2)/0.7,""))</x:f>
      </x:c>
      <x:c r="H52" s="66"/>
      <x:c r="I52" s="66"/>
      <x:c r="J52" s="66"/>
      <x:c r="K52" s="93"/>
      <x:c r="L52" s="66"/>
      <x:c r="M52" s="69"/>
    </x:row>
    <x:row r="53">
      <x:c r="A53" s="25" t="str">
        <x:v>AR-P10-KR</x:v>
      </x:c>
      <x:c r="B53" s="88"/>
      <x:c r="C53" s="88"/>
      <x:c r="D53" s="88"/>
      <x:c r="E53" s="88"/>
      <x:c r="F53" s="88"/>
      <x:c r="G53" s="89" t="str">
        <x:f>IF('Sample Manifest'!H53="present",IF(COUNT(B53,D53,F53)=3,B53*0.5+D53*0.3+F53*0.2,""),IF(COUNT(B53,F53)=2,(B53*0.5+F53*0.2)/0.7,""))</x:f>
      </x:c>
      <x:c r="H53" s="66"/>
      <x:c r="I53" s="66"/>
      <x:c r="J53" s="66"/>
      <x:c r="K53" s="93"/>
      <x:c r="L53" s="66"/>
      <x:c r="M53" s="69"/>
    </x:row>
    <x:row r="54">
      <x:c r="A54" s="25" t="str">
        <x:v>AR-P10-AE</x:v>
      </x:c>
      <x:c r="B54" s="88"/>
      <x:c r="C54" s="88"/>
      <x:c r="D54" s="88"/>
      <x:c r="E54" s="88"/>
      <x:c r="F54" s="88"/>
      <x:c r="G54" s="89" t="str">
        <x:f>IF('Sample Manifest'!H54="present",IF(COUNT(B54,D54,F54)=3,B54*0.5+D54*0.3+F54*0.2,""),IF(COUNT(B54,F54)=2,(B54*0.5+F54*0.2)/0.7,""))</x:f>
      </x:c>
      <x:c r="H54" s="66"/>
      <x:c r="I54" s="66"/>
      <x:c r="J54" s="66"/>
      <x:c r="K54" s="93"/>
      <x:c r="L54" s="66"/>
      <x:c r="M54" s="69"/>
    </x:row>
    <x:row r="55">
      <x:c r="A55" s="25" t="str">
        <x:v>AR-P11-US</x:v>
      </x:c>
      <x:c r="B55" s="88"/>
      <x:c r="C55" s="88"/>
      <x:c r="D55" s="88"/>
      <x:c r="E55" s="88"/>
      <x:c r="F55" s="88"/>
      <x:c r="G55" s="89" t="str">
        <x:f>IF('Sample Manifest'!H55="present",IF(COUNT(B55,D55,F55)=3,B55*0.5+D55*0.3+F55*0.2,""),IF(COUNT(B55,F55)=2,(B55*0.5+F55*0.2)/0.7,""))</x:f>
      </x:c>
      <x:c r="H55" s="66"/>
      <x:c r="I55" s="66"/>
      <x:c r="J55" s="66"/>
      <x:c r="K55" s="93"/>
      <x:c r="L55" s="66"/>
      <x:c r="M55" s="69"/>
    </x:row>
    <x:row r="56">
      <x:c r="A56" s="25" t="str">
        <x:v>AR-P11-DE</x:v>
      </x:c>
      <x:c r="B56" s="88"/>
      <x:c r="C56" s="88"/>
      <x:c r="D56" s="88"/>
      <x:c r="E56" s="88"/>
      <x:c r="F56" s="88"/>
      <x:c r="G56" s="89" t="str">
        <x:f>IF('Sample Manifest'!H56="present",IF(COUNT(B56,D56,F56)=3,B56*0.5+D56*0.3+F56*0.2,""),IF(COUNT(B56,F56)=2,(B56*0.5+F56*0.2)/0.7,""))</x:f>
      </x:c>
      <x:c r="H56" s="66"/>
      <x:c r="I56" s="66"/>
      <x:c r="J56" s="66"/>
      <x:c r="K56" s="93"/>
      <x:c r="L56" s="66"/>
      <x:c r="M56" s="69"/>
    </x:row>
    <x:row r="57">
      <x:c r="A57" s="25" t="str">
        <x:v>AR-P11-JP</x:v>
      </x:c>
      <x:c r="B57" s="88"/>
      <x:c r="C57" s="88"/>
      <x:c r="D57" s="88"/>
      <x:c r="E57" s="88"/>
      <x:c r="F57" s="88"/>
      <x:c r="G57" s="89" t="str">
        <x:f>IF('Sample Manifest'!H57="present",IF(COUNT(B57,D57,F57)=3,B57*0.5+D57*0.3+F57*0.2,""),IF(COUNT(B57,F57)=2,(B57*0.5+F57*0.2)/0.7,""))</x:f>
      </x:c>
      <x:c r="H57" s="66"/>
      <x:c r="I57" s="66"/>
      <x:c r="J57" s="66"/>
      <x:c r="K57" s="93"/>
      <x:c r="L57" s="66"/>
      <x:c r="M57" s="69"/>
    </x:row>
    <x:row r="58">
      <x:c r="A58" s="25" t="str">
        <x:v>AR-P11-KR</x:v>
      </x:c>
      <x:c r="B58" s="88"/>
      <x:c r="C58" s="88"/>
      <x:c r="D58" s="88"/>
      <x:c r="E58" s="88"/>
      <x:c r="F58" s="88"/>
      <x:c r="G58" s="89" t="str">
        <x:f>IF('Sample Manifest'!H58="present",IF(COUNT(B58,D58,F58)=3,B58*0.5+D58*0.3+F58*0.2,""),IF(COUNT(B58,F58)=2,(B58*0.5+F58*0.2)/0.7,""))</x:f>
      </x:c>
      <x:c r="H58" s="66"/>
      <x:c r="I58" s="66"/>
      <x:c r="J58" s="66"/>
      <x:c r="K58" s="93"/>
      <x:c r="L58" s="66"/>
      <x:c r="M58" s="69"/>
    </x:row>
    <x:row r="59">
      <x:c r="A59" s="25" t="str">
        <x:v>AR-P11-AE</x:v>
      </x:c>
      <x:c r="B59" s="88"/>
      <x:c r="C59" s="88"/>
      <x:c r="D59" s="88"/>
      <x:c r="E59" s="88"/>
      <x:c r="F59" s="88"/>
      <x:c r="G59" s="89" t="str">
        <x:f>IF('Sample Manifest'!H59="present",IF(COUNT(B59,D59,F59)=3,B59*0.5+D59*0.3+F59*0.2,""),IF(COUNT(B59,F59)=2,(B59*0.5+F59*0.2)/0.7,""))</x:f>
      </x:c>
      <x:c r="H59" s="66"/>
      <x:c r="I59" s="66"/>
      <x:c r="J59" s="66"/>
      <x:c r="K59" s="93"/>
      <x:c r="L59" s="66"/>
      <x:c r="M59" s="69"/>
    </x:row>
    <x:row r="60">
      <x:c r="A60" s="25" t="str">
        <x:v>AR-P12-US</x:v>
      </x:c>
      <x:c r="B60" s="88"/>
      <x:c r="C60" s="88"/>
      <x:c r="D60" s="88"/>
      <x:c r="E60" s="88"/>
      <x:c r="F60" s="88"/>
      <x:c r="G60" s="89" t="str">
        <x:f>IF('Sample Manifest'!H60="present",IF(COUNT(B60,D60,F60)=3,B60*0.5+D60*0.3+F60*0.2,""),IF(COUNT(B60,F60)=2,(B60*0.5+F60*0.2)/0.7,""))</x:f>
      </x:c>
      <x:c r="H60" s="66"/>
      <x:c r="I60" s="66"/>
      <x:c r="J60" s="66"/>
      <x:c r="K60" s="93"/>
      <x:c r="L60" s="66"/>
      <x:c r="M60" s="69"/>
    </x:row>
    <x:row r="61">
      <x:c r="A61" s="25" t="str">
        <x:v>AR-P12-DE</x:v>
      </x:c>
      <x:c r="B61" s="88"/>
      <x:c r="C61" s="88"/>
      <x:c r="D61" s="88"/>
      <x:c r="E61" s="88"/>
      <x:c r="F61" s="88"/>
      <x:c r="G61" s="89" t="str">
        <x:f>IF('Sample Manifest'!H61="present",IF(COUNT(B61,D61,F61)=3,B61*0.5+D61*0.3+F61*0.2,""),IF(COUNT(B61,F61)=2,(B61*0.5+F61*0.2)/0.7,""))</x:f>
      </x:c>
      <x:c r="H61" s="66"/>
      <x:c r="I61" s="66"/>
      <x:c r="J61" s="66"/>
      <x:c r="K61" s="93"/>
      <x:c r="L61" s="66"/>
      <x:c r="M61" s="69"/>
    </x:row>
    <x:row r="62">
      <x:c r="A62" s="25" t="str">
        <x:v>AR-P12-JP</x:v>
      </x:c>
      <x:c r="B62" s="88"/>
      <x:c r="C62" s="88"/>
      <x:c r="D62" s="88"/>
      <x:c r="E62" s="88"/>
      <x:c r="F62" s="88"/>
      <x:c r="G62" s="89" t="str">
        <x:f>IF('Sample Manifest'!H62="present",IF(COUNT(B62,D62,F62)=3,B62*0.5+D62*0.3+F62*0.2,""),IF(COUNT(B62,F62)=2,(B62*0.5+F62*0.2)/0.7,""))</x:f>
      </x:c>
      <x:c r="H62" s="66"/>
      <x:c r="I62" s="66"/>
      <x:c r="J62" s="66"/>
      <x:c r="K62" s="93"/>
      <x:c r="L62" s="66"/>
      <x:c r="M62" s="69"/>
    </x:row>
    <x:row r="63">
      <x:c r="A63" s="25" t="str">
        <x:v>AR-P12-KR</x:v>
      </x:c>
      <x:c r="B63" s="88"/>
      <x:c r="C63" s="88"/>
      <x:c r="D63" s="88"/>
      <x:c r="E63" s="88"/>
      <x:c r="F63" s="88"/>
      <x:c r="G63" s="89" t="str">
        <x:f>IF('Sample Manifest'!H63="present",IF(COUNT(B63,D63,F63)=3,B63*0.5+D63*0.3+F63*0.2,""),IF(COUNT(B63,F63)=2,(B63*0.5+F63*0.2)/0.7,""))</x:f>
      </x:c>
      <x:c r="H63" s="66"/>
      <x:c r="I63" s="66"/>
      <x:c r="J63" s="66"/>
      <x:c r="K63" s="93"/>
      <x:c r="L63" s="66"/>
      <x:c r="M63" s="69"/>
    </x:row>
    <x:row r="64">
      <x:c r="A64" s="27" t="str">
        <x:v>AR-P12-AE</x:v>
      </x:c>
      <x:c r="B64" s="90"/>
      <x:c r="C64" s="90"/>
      <x:c r="D64" s="90"/>
      <x:c r="E64" s="90"/>
      <x:c r="F64" s="90"/>
      <x:c r="G64" s="91" t="str">
        <x:f>IF('Sample Manifest'!H64="present",IF(COUNT(B64,D64,F64)=3,B64*0.5+D64*0.3+F64*0.2,""),IF(COUNT(B64,F64)=2,(B64*0.5+F64*0.2)/0.7,""))</x:f>
      </x:c>
      <x:c r="H64" s="67"/>
      <x:c r="I64" s="67"/>
      <x:c r="J64" s="67"/>
      <x:c r="K64" s="94"/>
      <x:c r="L64" s="67"/>
      <x:c r="M64" s="70"/>
    </x:row>
  </x:sheetData>
  <x:mergeCells>
    <x:mergeCell ref="A1:M1"/>
    <x:mergeCell ref="A2:M2"/>
  </x:mergeCells>
  <x:dataValidations count="4">
    <x:dataValidation type="decimal" operator="between" sqref="B5:D64">
      <x:formula1>0</x:formula1>
      <x:formula2>100</x:formula2>
    </x:dataValidation>
    <x:dataValidation type="decimal" operator="between" sqref="F5:F64">
      <x:formula1>0</x:formula1>
      <x:formula2>100</x:formula2>
    </x:dataValidation>
    <x:dataValidation type="list" sqref="H5:H64">
      <x:formula1>",pass,fail,provider_failure"</x:formula1>
    </x:dataValidation>
    <x:dataValidation type="list" sqref="M5:M64">
      <x:formula1>"No,Yes"</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5" hidden="0" customWidth="1"/>
    <x:col min="3" max="3" width="15" hidden="0" customWidth="1"/>
    <x:col min="4" max="4" width="15"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4" hidden="0" customWidth="1"/>
  </x:cols>
  <x:sheetData>
    <x:row r="1" ht="34" customHeight="1">
      <x:c r="A1" s="3" t="str">
        <x:v>Paired Analysis Table</x:v>
      </x:c>
      <x:c r="B1" s="3" t="str">
        <x:v>Paired Analysis Table</x:v>
      </x:c>
      <x:c r="C1" s="3" t="str">
        <x:v>Paired Analysis Table</x:v>
      </x:c>
      <x:c r="D1" s="3" t="str">
        <x:v>Paired Analysis Table</x:v>
      </x:c>
      <x:c r="E1" s="3" t="str">
        <x:v>Paired Analysis Table</x:v>
      </x:c>
      <x:c r="F1" s="3" t="str">
        <x:v>Paired Analysis Table</x:v>
      </x:c>
      <x:c r="G1" s="3" t="str">
        <x:v>Paired Analysis Table</x:v>
      </x:c>
      <x:c r="H1" s="3" t="str">
        <x:v>Paired Analysis Table</x:v>
      </x:c>
      <x:c r="I1" s="3" t="str">
        <x:v>Paired Analysis Table</x:v>
      </x:c>
      <x:c r="J1" s="3" t="str">
        <x:v>Paired Analysis Table</x:v>
      </x:c>
      <x:c r="K1" s="3" t="str">
        <x:v>Paired Analysis Table</x:v>
      </x:c>
      <x:c r="L1" s="3" t="str">
        <x:v>Paired Analysis Table</x:v>
      </x:c>
      <x:c r="M1" s="3" t="str">
        <x:v>Paired Analysis Table</x:v>
      </x:c>
      <x:c r="N1" s="3" t="str">
        <x:v>Paired Analysis Table</x:v>
      </x:c>
    </x:row>
    <x:row r="2" ht="30" customHeight="1">
      <x:c r="A2" s="7" t="str">
        <x:v>Formula-driven human means and overall scores. Final Pearson/Spearman and clustered intervals are produced by the reproducible validation script.</x:v>
      </x:c>
      <x:c r="B2" s="7" t="str">
        <x:v>Formula-driven human means and overall scores. Final Pearson/Spearman and clustered intervals are produced by the reproducible validation script.</x:v>
      </x:c>
      <x:c r="C2" s="7" t="str">
        <x:v>Formula-driven human means and overall scores. Final Pearson/Spearman and clustered intervals are produced by the reproducible validation script.</x:v>
      </x:c>
      <x:c r="D2" s="7" t="str">
        <x:v>Formula-driven human means and overall scores. Final Pearson/Spearman and clustered intervals are produced by the reproducible validation script.</x:v>
      </x:c>
      <x:c r="E2" s="7" t="str">
        <x:v>Formula-driven human means and overall scores. Final Pearson/Spearman and clustered intervals are produced by the reproducible validation script.</x:v>
      </x:c>
      <x:c r="F2" s="7" t="str">
        <x:v>Formula-driven human means and overall scores. Final Pearson/Spearman and clustered intervals are produced by the reproducible validation script.</x:v>
      </x:c>
      <x:c r="G2" s="7" t="str">
        <x:v>Formula-driven human means and overall scores. Final Pearson/Spearman and clustered intervals are produced by the reproducible validation script.</x:v>
      </x:c>
      <x:c r="H2" s="7" t="str">
        <x:v>Formula-driven human means and overall scores. Final Pearson/Spearman and clustered intervals are produced by the reproducible validation script.</x:v>
      </x:c>
      <x:c r="I2" s="7" t="str">
        <x:v>Formula-driven human means and overall scores. Final Pearson/Spearman and clustered intervals are produced by the reproducible validation script.</x:v>
      </x:c>
      <x:c r="J2" s="7" t="str">
        <x:v>Formula-driven human means and overall scores. Final Pearson/Spearman and clustered intervals are produced by the reproducible validation script.</x:v>
      </x:c>
      <x:c r="K2" s="7" t="str">
        <x:v>Formula-driven human means and overall scores. Final Pearson/Spearman and clustered intervals are produced by the reproducible validation script.</x:v>
      </x:c>
      <x:c r="L2" s="7" t="str">
        <x:v>Formula-driven human means and overall scores. Final Pearson/Spearman and clustered intervals are produced by the reproducible validation script.</x:v>
      </x:c>
      <x:c r="M2" s="7" t="str">
        <x:v>Formula-driven human means and overall scores. Final Pearson/Spearman and clustered intervals are produced by the reproducible validation script.</x:v>
      </x:c>
      <x:c r="N2" s="7" t="str">
        <x:v>Formula-driven human means and overall scores. Final Pearson/Spearman and clustered intervals are produced by the reproducible validation script.</x:v>
      </x:c>
    </x:row>
    <x:row r="4" ht="30" customHeight="1">
      <x:c r="A4" s="14" t="str">
        <x:v>sample_id</x:v>
      </x:c>
      <x:c r="B4" s="58" t="str">
        <x:v>product_slot</x:v>
      </x:c>
      <x:c r="C4" s="58" t="str">
        <x:v>market</x:v>
      </x:c>
      <x:c r="D4" s="58" t="str">
        <x:v>logo_condition</x:v>
      </x:c>
      <x:c r="E4" s="58" t="str">
        <x:v>human_product</x:v>
      </x:c>
      <x:c r="F4" s="58" t="str">
        <x:v>human_logo</x:v>
      </x:c>
      <x:c r="G4" s="58" t="str">
        <x:v>human_color</x:v>
      </x:c>
      <x:c r="H4" s="58" t="str">
        <x:v>human_overall</x:v>
      </x:c>
      <x:c r="I4" s="58" t="str">
        <x:v>model_product</x:v>
      </x:c>
      <x:c r="J4" s="58" t="str">
        <x:v>model_logo</x:v>
      </x:c>
      <x:c r="K4" s="58" t="str">
        <x:v>model_color</x:v>
      </x:c>
      <x:c r="L4" s="58" t="str">
        <x:v>model_overall</x:v>
      </x:c>
      <x:c r="M4" s="58" t="str">
        <x:v>absolute_difference</x:v>
      </x:c>
      <x:c r="N4" s="15" t="str">
        <x:v>row_ready</x:v>
      </x:c>
    </x:row>
    <x:row r="5">
      <x:c r="A5" s="23" t="str">
        <x:f>'Sample Manifest'!A5</x:f>
        <x:v>AR-P01-US</x:v>
      </x:c>
      <x:c r="B5" s="62" t="str">
        <x:f>'Sample Manifest'!B5</x:f>
        <x:v>P01</x:v>
      </x:c>
      <x:c r="C5" s="62" t="str">
        <x:f>'Sample Manifest'!E5</x:f>
        <x:v>US</x:v>
      </x:c>
      <x:c r="D5" s="62" t="str">
        <x:f>'Sample Manifest'!H5</x:f>
        <x:v>present</x:v>
      </x:c>
      <x:c r="E5" s="87" t="str">
        <x:f>IF(COUNT('Rater 1'!C5,'Rater 2'!C5)=2,AVERAGE('Rater 1'!C5,'Rater 2'!C5),"")</x:f>
      </x:c>
      <x:c r="F5" s="87" t="str">
        <x:f>IF(D5="absent","",IF(COUNT('Rater 1'!F5,'Rater 2'!F5)=2,AVERAGE('Rater 1'!F5,'Rater 2'!F5),""))</x:f>
      </x:c>
      <x:c r="G5" s="87" t="str">
        <x:f>IF(COUNT('Rater 1'!G5,'Rater 2'!G5)=2,AVERAGE('Rater 1'!G5,'Rater 2'!G5),"")</x:f>
      </x:c>
      <x:c r="H5" s="87" t="str">
        <x:f>IF(D5="present",IF(COUNT(E5:G5)=3,E5*0.5+F5*0.3+G5*0.2,""),IF(COUNT(E5,G5)=2,(E5*0.5+G5*0.2)/0.7,""))</x:f>
      </x:c>
      <x:c r="I5" s="87" t="str">
        <x:f>IF(COUNT('Model Scores'!B5)=1,'Model Scores'!B5,"")</x:f>
      </x:c>
      <x:c r="J5" s="87" t="str">
        <x:f>IF(D5="absent","",IF(COUNT('Model Scores'!D5)=1,'Model Scores'!D5,""))</x:f>
      </x:c>
      <x:c r="K5" s="87" t="str">
        <x:f>IF(COUNT('Model Scores'!F5)=1,'Model Scores'!F5,"")</x:f>
      </x:c>
      <x:c r="L5" s="87" t="str">
        <x:f>IF(COUNT('Model Scores'!G5)=1,'Model Scores'!G5,"")</x:f>
      </x:c>
      <x:c r="M5" s="87" t="str">
        <x:f>IF(COUNT(H5,L5)=2,ABS(H5-L5),"")</x:f>
      </x:c>
      <x:c r="N5" s="68" t="str">
        <x:f>IF(AND('Rater 1'!J5="Yes",'Rater 2'!J5="Yes",'Model Scores'!M5="Yes"),"Ready","Pending")</x:f>
        <x:v>Pending</x:v>
      </x:c>
    </x:row>
    <x:row r="6">
      <x:c r="A6" s="25" t="str">
        <x:f>'Sample Manifest'!A6</x:f>
        <x:v>AR-P01-DE</x:v>
      </x:c>
      <x:c r="B6" s="63" t="str">
        <x:f>'Sample Manifest'!B6</x:f>
        <x:v>P01</x:v>
      </x:c>
      <x:c r="C6" s="63" t="str">
        <x:f>'Sample Manifest'!E6</x:f>
        <x:v>DE</x:v>
      </x:c>
      <x:c r="D6" s="63" t="str">
        <x:f>'Sample Manifest'!H6</x:f>
        <x:v>present</x:v>
      </x:c>
      <x:c r="E6" s="89" t="str">
        <x:f>IF(COUNT('Rater 1'!C6,'Rater 2'!C6)=2,AVERAGE('Rater 1'!C6,'Rater 2'!C6),"")</x:f>
      </x:c>
      <x:c r="F6" s="89" t="str">
        <x:f>IF(D6="absent","",IF(COUNT('Rater 1'!F6,'Rater 2'!F6)=2,AVERAGE('Rater 1'!F6,'Rater 2'!F6),""))</x:f>
      </x:c>
      <x:c r="G6" s="89" t="str">
        <x:f>IF(COUNT('Rater 1'!G6,'Rater 2'!G6)=2,AVERAGE('Rater 1'!G6,'Rater 2'!G6),"")</x:f>
      </x:c>
      <x:c r="H6" s="89" t="str">
        <x:f>IF(D6="present",IF(COUNT(E6:G6)=3,E6*0.5+F6*0.3+G6*0.2,""),IF(COUNT(E6,G6)=2,(E6*0.5+G6*0.2)/0.7,""))</x:f>
      </x:c>
      <x:c r="I6" s="89" t="str">
        <x:f>IF(COUNT('Model Scores'!B6)=1,'Model Scores'!B6,"")</x:f>
      </x:c>
      <x:c r="J6" s="89" t="str">
        <x:f>IF(D6="absent","",IF(COUNT('Model Scores'!D6)=1,'Model Scores'!D6,""))</x:f>
      </x:c>
      <x:c r="K6" s="89" t="str">
        <x:f>IF(COUNT('Model Scores'!F6)=1,'Model Scores'!F6,"")</x:f>
      </x:c>
      <x:c r="L6" s="89" t="str">
        <x:f>IF(COUNT('Model Scores'!G6)=1,'Model Scores'!G6,"")</x:f>
      </x:c>
      <x:c r="M6" s="89" t="str">
        <x:f>IF(COUNT(H6,L6)=2,ABS(H6-L6),"")</x:f>
      </x:c>
      <x:c r="N6" s="69" t="str">
        <x:f>IF(AND('Rater 1'!J6="Yes",'Rater 2'!J6="Yes",'Model Scores'!M6="Yes"),"Ready","Pending")</x:f>
        <x:v>Pending</x:v>
      </x:c>
    </x:row>
    <x:row r="7">
      <x:c r="A7" s="25" t="str">
        <x:f>'Sample Manifest'!A7</x:f>
        <x:v>AR-P01-JP</x:v>
      </x:c>
      <x:c r="B7" s="63" t="str">
        <x:f>'Sample Manifest'!B7</x:f>
        <x:v>P01</x:v>
      </x:c>
      <x:c r="C7" s="63" t="str">
        <x:f>'Sample Manifest'!E7</x:f>
        <x:v>JP</x:v>
      </x:c>
      <x:c r="D7" s="63" t="str">
        <x:f>'Sample Manifest'!H7</x:f>
        <x:v>present</x:v>
      </x:c>
      <x:c r="E7" s="89" t="str">
        <x:f>IF(COUNT('Rater 1'!C7,'Rater 2'!C7)=2,AVERAGE('Rater 1'!C7,'Rater 2'!C7),"")</x:f>
      </x:c>
      <x:c r="F7" s="89" t="str">
        <x:f>IF(D7="absent","",IF(COUNT('Rater 1'!F7,'Rater 2'!F7)=2,AVERAGE('Rater 1'!F7,'Rater 2'!F7),""))</x:f>
      </x:c>
      <x:c r="G7" s="89" t="str">
        <x:f>IF(COUNT('Rater 1'!G7,'Rater 2'!G7)=2,AVERAGE('Rater 1'!G7,'Rater 2'!G7),"")</x:f>
      </x:c>
      <x:c r="H7" s="89" t="str">
        <x:f>IF(D7="present",IF(COUNT(E7:G7)=3,E7*0.5+F7*0.3+G7*0.2,""),IF(COUNT(E7,G7)=2,(E7*0.5+G7*0.2)/0.7,""))</x:f>
      </x:c>
      <x:c r="I7" s="89" t="str">
        <x:f>IF(COUNT('Model Scores'!B7)=1,'Model Scores'!B7,"")</x:f>
      </x:c>
      <x:c r="J7" s="89" t="str">
        <x:f>IF(D7="absent","",IF(COUNT('Model Scores'!D7)=1,'Model Scores'!D7,""))</x:f>
      </x:c>
      <x:c r="K7" s="89" t="str">
        <x:f>IF(COUNT('Model Scores'!F7)=1,'Model Scores'!F7,"")</x:f>
      </x:c>
      <x:c r="L7" s="89" t="str">
        <x:f>IF(COUNT('Model Scores'!G7)=1,'Model Scores'!G7,"")</x:f>
      </x:c>
      <x:c r="M7" s="89" t="str">
        <x:f>IF(COUNT(H7,L7)=2,ABS(H7-L7),"")</x:f>
      </x:c>
      <x:c r="N7" s="69" t="str">
        <x:f>IF(AND('Rater 1'!J7="Yes",'Rater 2'!J7="Yes",'Model Scores'!M7="Yes"),"Ready","Pending")</x:f>
        <x:v>Pending</x:v>
      </x:c>
    </x:row>
    <x:row r="8">
      <x:c r="A8" s="25" t="str">
        <x:f>'Sample Manifest'!A8</x:f>
        <x:v>AR-P01-KR</x:v>
      </x:c>
      <x:c r="B8" s="63" t="str">
        <x:f>'Sample Manifest'!B8</x:f>
        <x:v>P01</x:v>
      </x:c>
      <x:c r="C8" s="63" t="str">
        <x:f>'Sample Manifest'!E8</x:f>
        <x:v>KR</x:v>
      </x:c>
      <x:c r="D8" s="63" t="str">
        <x:f>'Sample Manifest'!H8</x:f>
        <x:v>present</x:v>
      </x:c>
      <x:c r="E8" s="89" t="str">
        <x:f>IF(COUNT('Rater 1'!C8,'Rater 2'!C8)=2,AVERAGE('Rater 1'!C8,'Rater 2'!C8),"")</x:f>
      </x:c>
      <x:c r="F8" s="89" t="str">
        <x:f>IF(D8="absent","",IF(COUNT('Rater 1'!F8,'Rater 2'!F8)=2,AVERAGE('Rater 1'!F8,'Rater 2'!F8),""))</x:f>
      </x:c>
      <x:c r="G8" s="89" t="str">
        <x:f>IF(COUNT('Rater 1'!G8,'Rater 2'!G8)=2,AVERAGE('Rater 1'!G8,'Rater 2'!G8),"")</x:f>
      </x:c>
      <x:c r="H8" s="89" t="str">
        <x:f>IF(D8="present",IF(COUNT(E8:G8)=3,E8*0.5+F8*0.3+G8*0.2,""),IF(COUNT(E8,G8)=2,(E8*0.5+G8*0.2)/0.7,""))</x:f>
      </x:c>
      <x:c r="I8" s="89" t="str">
        <x:f>IF(COUNT('Model Scores'!B8)=1,'Model Scores'!B8,"")</x:f>
      </x:c>
      <x:c r="J8" s="89" t="str">
        <x:f>IF(D8="absent","",IF(COUNT('Model Scores'!D8)=1,'Model Scores'!D8,""))</x:f>
      </x:c>
      <x:c r="K8" s="89" t="str">
        <x:f>IF(COUNT('Model Scores'!F8)=1,'Model Scores'!F8,"")</x:f>
      </x:c>
      <x:c r="L8" s="89" t="str">
        <x:f>IF(COUNT('Model Scores'!G8)=1,'Model Scores'!G8,"")</x:f>
      </x:c>
      <x:c r="M8" s="89" t="str">
        <x:f>IF(COUNT(H8,L8)=2,ABS(H8-L8),"")</x:f>
      </x:c>
      <x:c r="N8" s="69" t="str">
        <x:f>IF(AND('Rater 1'!J8="Yes",'Rater 2'!J8="Yes",'Model Scores'!M8="Yes"),"Ready","Pending")</x:f>
        <x:v>Pending</x:v>
      </x:c>
    </x:row>
    <x:row r="9">
      <x:c r="A9" s="25" t="str">
        <x:f>'Sample Manifest'!A9</x:f>
        <x:v>AR-P01-AE</x:v>
      </x:c>
      <x:c r="B9" s="63" t="str">
        <x:f>'Sample Manifest'!B9</x:f>
        <x:v>P01</x:v>
      </x:c>
      <x:c r="C9" s="63" t="str">
        <x:f>'Sample Manifest'!E9</x:f>
        <x:v>AE</x:v>
      </x:c>
      <x:c r="D9" s="63" t="str">
        <x:f>'Sample Manifest'!H9</x:f>
        <x:v>present</x:v>
      </x:c>
      <x:c r="E9" s="89" t="str">
        <x:f>IF(COUNT('Rater 1'!C9,'Rater 2'!C9)=2,AVERAGE('Rater 1'!C9,'Rater 2'!C9),"")</x:f>
      </x:c>
      <x:c r="F9" s="89" t="str">
        <x:f>IF(D9="absent","",IF(COUNT('Rater 1'!F9,'Rater 2'!F9)=2,AVERAGE('Rater 1'!F9,'Rater 2'!F9),""))</x:f>
      </x:c>
      <x:c r="G9" s="89" t="str">
        <x:f>IF(COUNT('Rater 1'!G9,'Rater 2'!G9)=2,AVERAGE('Rater 1'!G9,'Rater 2'!G9),"")</x:f>
      </x:c>
      <x:c r="H9" s="89" t="str">
        <x:f>IF(D9="present",IF(COUNT(E9:G9)=3,E9*0.5+F9*0.3+G9*0.2,""),IF(COUNT(E9,G9)=2,(E9*0.5+G9*0.2)/0.7,""))</x:f>
      </x:c>
      <x:c r="I9" s="89" t="str">
        <x:f>IF(COUNT('Model Scores'!B9)=1,'Model Scores'!B9,"")</x:f>
      </x:c>
      <x:c r="J9" s="89" t="str">
        <x:f>IF(D9="absent","",IF(COUNT('Model Scores'!D9)=1,'Model Scores'!D9,""))</x:f>
      </x:c>
      <x:c r="K9" s="89" t="str">
        <x:f>IF(COUNT('Model Scores'!F9)=1,'Model Scores'!F9,"")</x:f>
      </x:c>
      <x:c r="L9" s="89" t="str">
        <x:f>IF(COUNT('Model Scores'!G9)=1,'Model Scores'!G9,"")</x:f>
      </x:c>
      <x:c r="M9" s="89" t="str">
        <x:f>IF(COUNT(H9,L9)=2,ABS(H9-L9),"")</x:f>
      </x:c>
      <x:c r="N9" s="69" t="str">
        <x:f>IF(AND('Rater 1'!J9="Yes",'Rater 2'!J9="Yes",'Model Scores'!M9="Yes"),"Ready","Pending")</x:f>
        <x:v>Pending</x:v>
      </x:c>
    </x:row>
    <x:row r="10">
      <x:c r="A10" s="25" t="str">
        <x:f>'Sample Manifest'!A10</x:f>
        <x:v>AR-P02-US</x:v>
      </x:c>
      <x:c r="B10" s="63" t="str">
        <x:f>'Sample Manifest'!B10</x:f>
        <x:v>P02</x:v>
      </x:c>
      <x:c r="C10" s="63" t="str">
        <x:f>'Sample Manifest'!E10</x:f>
        <x:v>US</x:v>
      </x:c>
      <x:c r="D10" s="63" t="str">
        <x:f>'Sample Manifest'!H10</x:f>
        <x:v>present</x:v>
      </x:c>
      <x:c r="E10" s="89" t="str">
        <x:f>IF(COUNT('Rater 1'!C10,'Rater 2'!C10)=2,AVERAGE('Rater 1'!C10,'Rater 2'!C10),"")</x:f>
      </x:c>
      <x:c r="F10" s="89" t="str">
        <x:f>IF(D10="absent","",IF(COUNT('Rater 1'!F10,'Rater 2'!F10)=2,AVERAGE('Rater 1'!F10,'Rater 2'!F10),""))</x:f>
      </x:c>
      <x:c r="G10" s="89" t="str">
        <x:f>IF(COUNT('Rater 1'!G10,'Rater 2'!G10)=2,AVERAGE('Rater 1'!G10,'Rater 2'!G10),"")</x:f>
      </x:c>
      <x:c r="H10" s="89" t="str">
        <x:f>IF(D10="present",IF(COUNT(E10:G10)=3,E10*0.5+F10*0.3+G10*0.2,""),IF(COUNT(E10,G10)=2,(E10*0.5+G10*0.2)/0.7,""))</x:f>
      </x:c>
      <x:c r="I10" s="89" t="str">
        <x:f>IF(COUNT('Model Scores'!B10)=1,'Model Scores'!B10,"")</x:f>
      </x:c>
      <x:c r="J10" s="89" t="str">
        <x:f>IF(D10="absent","",IF(COUNT('Model Scores'!D10)=1,'Model Scores'!D10,""))</x:f>
      </x:c>
      <x:c r="K10" s="89" t="str">
        <x:f>IF(COUNT('Model Scores'!F10)=1,'Model Scores'!F10,"")</x:f>
      </x:c>
      <x:c r="L10" s="89" t="str">
        <x:f>IF(COUNT('Model Scores'!G10)=1,'Model Scores'!G10,"")</x:f>
      </x:c>
      <x:c r="M10" s="89" t="str">
        <x:f>IF(COUNT(H10,L10)=2,ABS(H10-L10),"")</x:f>
      </x:c>
      <x:c r="N10" s="69" t="str">
        <x:f>IF(AND('Rater 1'!J10="Yes",'Rater 2'!J10="Yes",'Model Scores'!M10="Yes"),"Ready","Pending")</x:f>
        <x:v>Pending</x:v>
      </x:c>
    </x:row>
    <x:row r="11">
      <x:c r="A11" s="25" t="str">
        <x:f>'Sample Manifest'!A11</x:f>
        <x:v>AR-P02-DE</x:v>
      </x:c>
      <x:c r="B11" s="63" t="str">
        <x:f>'Sample Manifest'!B11</x:f>
        <x:v>P02</x:v>
      </x:c>
      <x:c r="C11" s="63" t="str">
        <x:f>'Sample Manifest'!E11</x:f>
        <x:v>DE</x:v>
      </x:c>
      <x:c r="D11" s="63" t="str">
        <x:f>'Sample Manifest'!H11</x:f>
        <x:v>present</x:v>
      </x:c>
      <x:c r="E11" s="89" t="str">
        <x:f>IF(COUNT('Rater 1'!C11,'Rater 2'!C11)=2,AVERAGE('Rater 1'!C11,'Rater 2'!C11),"")</x:f>
      </x:c>
      <x:c r="F11" s="89" t="str">
        <x:f>IF(D11="absent","",IF(COUNT('Rater 1'!F11,'Rater 2'!F11)=2,AVERAGE('Rater 1'!F11,'Rater 2'!F11),""))</x:f>
      </x:c>
      <x:c r="G11" s="89" t="str">
        <x:f>IF(COUNT('Rater 1'!G11,'Rater 2'!G11)=2,AVERAGE('Rater 1'!G11,'Rater 2'!G11),"")</x:f>
      </x:c>
      <x:c r="H11" s="89" t="str">
        <x:f>IF(D11="present",IF(COUNT(E11:G11)=3,E11*0.5+F11*0.3+G11*0.2,""),IF(COUNT(E11,G11)=2,(E11*0.5+G11*0.2)/0.7,""))</x:f>
      </x:c>
      <x:c r="I11" s="89" t="str">
        <x:f>IF(COUNT('Model Scores'!B11)=1,'Model Scores'!B11,"")</x:f>
      </x:c>
      <x:c r="J11" s="89" t="str">
        <x:f>IF(D11="absent","",IF(COUNT('Model Scores'!D11)=1,'Model Scores'!D11,""))</x:f>
      </x:c>
      <x:c r="K11" s="89" t="str">
        <x:f>IF(COUNT('Model Scores'!F11)=1,'Model Scores'!F11,"")</x:f>
      </x:c>
      <x:c r="L11" s="89" t="str">
        <x:f>IF(COUNT('Model Scores'!G11)=1,'Model Scores'!G11,"")</x:f>
      </x:c>
      <x:c r="M11" s="89" t="str">
        <x:f>IF(COUNT(H11,L11)=2,ABS(H11-L11),"")</x:f>
      </x:c>
      <x:c r="N11" s="69" t="str">
        <x:f>IF(AND('Rater 1'!J11="Yes",'Rater 2'!J11="Yes",'Model Scores'!M11="Yes"),"Ready","Pending")</x:f>
        <x:v>Pending</x:v>
      </x:c>
    </x:row>
    <x:row r="12">
      <x:c r="A12" s="25" t="str">
        <x:f>'Sample Manifest'!A12</x:f>
        <x:v>AR-P02-JP</x:v>
      </x:c>
      <x:c r="B12" s="63" t="str">
        <x:f>'Sample Manifest'!B12</x:f>
        <x:v>P02</x:v>
      </x:c>
      <x:c r="C12" s="63" t="str">
        <x:f>'Sample Manifest'!E12</x:f>
        <x:v>JP</x:v>
      </x:c>
      <x:c r="D12" s="63" t="str">
        <x:f>'Sample Manifest'!H12</x:f>
        <x:v>present</x:v>
      </x:c>
      <x:c r="E12" s="89" t="str">
        <x:f>IF(COUNT('Rater 1'!C12,'Rater 2'!C12)=2,AVERAGE('Rater 1'!C12,'Rater 2'!C12),"")</x:f>
      </x:c>
      <x:c r="F12" s="89" t="str">
        <x:f>IF(D12="absent","",IF(COUNT('Rater 1'!F12,'Rater 2'!F12)=2,AVERAGE('Rater 1'!F12,'Rater 2'!F12),""))</x:f>
      </x:c>
      <x:c r="G12" s="89" t="str">
        <x:f>IF(COUNT('Rater 1'!G12,'Rater 2'!G12)=2,AVERAGE('Rater 1'!G12,'Rater 2'!G12),"")</x:f>
      </x:c>
      <x:c r="H12" s="89" t="str">
        <x:f>IF(D12="present",IF(COUNT(E12:G12)=3,E12*0.5+F12*0.3+G12*0.2,""),IF(COUNT(E12,G12)=2,(E12*0.5+G12*0.2)/0.7,""))</x:f>
      </x:c>
      <x:c r="I12" s="89" t="str">
        <x:f>IF(COUNT('Model Scores'!B12)=1,'Model Scores'!B12,"")</x:f>
      </x:c>
      <x:c r="J12" s="89" t="str">
        <x:f>IF(D12="absent","",IF(COUNT('Model Scores'!D12)=1,'Model Scores'!D12,""))</x:f>
      </x:c>
      <x:c r="K12" s="89" t="str">
        <x:f>IF(COUNT('Model Scores'!F12)=1,'Model Scores'!F12,"")</x:f>
      </x:c>
      <x:c r="L12" s="89" t="str">
        <x:f>IF(COUNT('Model Scores'!G12)=1,'Model Scores'!G12,"")</x:f>
      </x:c>
      <x:c r="M12" s="89" t="str">
        <x:f>IF(COUNT(H12,L12)=2,ABS(H12-L12),"")</x:f>
      </x:c>
      <x:c r="N12" s="69" t="str">
        <x:f>IF(AND('Rater 1'!J12="Yes",'Rater 2'!J12="Yes",'Model Scores'!M12="Yes"),"Ready","Pending")</x:f>
        <x:v>Pending</x:v>
      </x:c>
    </x:row>
    <x:row r="13">
      <x:c r="A13" s="25" t="str">
        <x:f>'Sample Manifest'!A13</x:f>
        <x:v>AR-P02-KR</x:v>
      </x:c>
      <x:c r="B13" s="63" t="str">
        <x:f>'Sample Manifest'!B13</x:f>
        <x:v>P02</x:v>
      </x:c>
      <x:c r="C13" s="63" t="str">
        <x:f>'Sample Manifest'!E13</x:f>
        <x:v>KR</x:v>
      </x:c>
      <x:c r="D13" s="63" t="str">
        <x:f>'Sample Manifest'!H13</x:f>
        <x:v>present</x:v>
      </x:c>
      <x:c r="E13" s="89" t="str">
        <x:f>IF(COUNT('Rater 1'!C13,'Rater 2'!C13)=2,AVERAGE('Rater 1'!C13,'Rater 2'!C13),"")</x:f>
      </x:c>
      <x:c r="F13" s="89" t="str">
        <x:f>IF(D13="absent","",IF(COUNT('Rater 1'!F13,'Rater 2'!F13)=2,AVERAGE('Rater 1'!F13,'Rater 2'!F13),""))</x:f>
      </x:c>
      <x:c r="G13" s="89" t="str">
        <x:f>IF(COUNT('Rater 1'!G13,'Rater 2'!G13)=2,AVERAGE('Rater 1'!G13,'Rater 2'!G13),"")</x:f>
      </x:c>
      <x:c r="H13" s="89" t="str">
        <x:f>IF(D13="present",IF(COUNT(E13:G13)=3,E13*0.5+F13*0.3+G13*0.2,""),IF(COUNT(E13,G13)=2,(E13*0.5+G13*0.2)/0.7,""))</x:f>
      </x:c>
      <x:c r="I13" s="89" t="str">
        <x:f>IF(COUNT('Model Scores'!B13)=1,'Model Scores'!B13,"")</x:f>
      </x:c>
      <x:c r="J13" s="89" t="str">
        <x:f>IF(D13="absent","",IF(COUNT('Model Scores'!D13)=1,'Model Scores'!D13,""))</x:f>
      </x:c>
      <x:c r="K13" s="89" t="str">
        <x:f>IF(COUNT('Model Scores'!F13)=1,'Model Scores'!F13,"")</x:f>
      </x:c>
      <x:c r="L13" s="89" t="str">
        <x:f>IF(COUNT('Model Scores'!G13)=1,'Model Scores'!G13,"")</x:f>
      </x:c>
      <x:c r="M13" s="89" t="str">
        <x:f>IF(COUNT(H13,L13)=2,ABS(H13-L13),"")</x:f>
      </x:c>
      <x:c r="N13" s="69" t="str">
        <x:f>IF(AND('Rater 1'!J13="Yes",'Rater 2'!J13="Yes",'Model Scores'!M13="Yes"),"Ready","Pending")</x:f>
        <x:v>Pending</x:v>
      </x:c>
    </x:row>
    <x:row r="14">
      <x:c r="A14" s="25" t="str">
        <x:f>'Sample Manifest'!A14</x:f>
        <x:v>AR-P02-AE</x:v>
      </x:c>
      <x:c r="B14" s="63" t="str">
        <x:f>'Sample Manifest'!B14</x:f>
        <x:v>P02</x:v>
      </x:c>
      <x:c r="C14" s="63" t="str">
        <x:f>'Sample Manifest'!E14</x:f>
        <x:v>AE</x:v>
      </x:c>
      <x:c r="D14" s="63" t="str">
        <x:f>'Sample Manifest'!H14</x:f>
        <x:v>present</x:v>
      </x:c>
      <x:c r="E14" s="89" t="str">
        <x:f>IF(COUNT('Rater 1'!C14,'Rater 2'!C14)=2,AVERAGE('Rater 1'!C14,'Rater 2'!C14),"")</x:f>
      </x:c>
      <x:c r="F14" s="89" t="str">
        <x:f>IF(D14="absent","",IF(COUNT('Rater 1'!F14,'Rater 2'!F14)=2,AVERAGE('Rater 1'!F14,'Rater 2'!F14),""))</x:f>
      </x:c>
      <x:c r="G14" s="89" t="str">
        <x:f>IF(COUNT('Rater 1'!G14,'Rater 2'!G14)=2,AVERAGE('Rater 1'!G14,'Rater 2'!G14),"")</x:f>
      </x:c>
      <x:c r="H14" s="89" t="str">
        <x:f>IF(D14="present",IF(COUNT(E14:G14)=3,E14*0.5+F14*0.3+G14*0.2,""),IF(COUNT(E14,G14)=2,(E14*0.5+G14*0.2)/0.7,""))</x:f>
      </x:c>
      <x:c r="I14" s="89" t="str">
        <x:f>IF(COUNT('Model Scores'!B14)=1,'Model Scores'!B14,"")</x:f>
      </x:c>
      <x:c r="J14" s="89" t="str">
        <x:f>IF(D14="absent","",IF(COUNT('Model Scores'!D14)=1,'Model Scores'!D14,""))</x:f>
      </x:c>
      <x:c r="K14" s="89" t="str">
        <x:f>IF(COUNT('Model Scores'!F14)=1,'Model Scores'!F14,"")</x:f>
      </x:c>
      <x:c r="L14" s="89" t="str">
        <x:f>IF(COUNT('Model Scores'!G14)=1,'Model Scores'!G14,"")</x:f>
      </x:c>
      <x:c r="M14" s="89" t="str">
        <x:f>IF(COUNT(H14,L14)=2,ABS(H14-L14),"")</x:f>
      </x:c>
      <x:c r="N14" s="69" t="str">
        <x:f>IF(AND('Rater 1'!J14="Yes",'Rater 2'!J14="Yes",'Model Scores'!M14="Yes"),"Ready","Pending")</x:f>
        <x:v>Pending</x:v>
      </x:c>
    </x:row>
    <x:row r="15">
      <x:c r="A15" s="25" t="str">
        <x:f>'Sample Manifest'!A15</x:f>
        <x:v>AR-P03-US</x:v>
      </x:c>
      <x:c r="B15" s="63" t="str">
        <x:f>'Sample Manifest'!B15</x:f>
        <x:v>P03</x:v>
      </x:c>
      <x:c r="C15" s="63" t="str">
        <x:f>'Sample Manifest'!E15</x:f>
        <x:v>US</x:v>
      </x:c>
      <x:c r="D15" s="63" t="str">
        <x:f>'Sample Manifest'!H15</x:f>
        <x:v>present</x:v>
      </x:c>
      <x:c r="E15" s="89" t="str">
        <x:f>IF(COUNT('Rater 1'!C15,'Rater 2'!C15)=2,AVERAGE('Rater 1'!C15,'Rater 2'!C15),"")</x:f>
      </x:c>
      <x:c r="F15" s="89" t="str">
        <x:f>IF(D15="absent","",IF(COUNT('Rater 1'!F15,'Rater 2'!F15)=2,AVERAGE('Rater 1'!F15,'Rater 2'!F15),""))</x:f>
      </x:c>
      <x:c r="G15" s="89" t="str">
        <x:f>IF(COUNT('Rater 1'!G15,'Rater 2'!G15)=2,AVERAGE('Rater 1'!G15,'Rater 2'!G15),"")</x:f>
      </x:c>
      <x:c r="H15" s="89" t="str">
        <x:f>IF(D15="present",IF(COUNT(E15:G15)=3,E15*0.5+F15*0.3+G15*0.2,""),IF(COUNT(E15,G15)=2,(E15*0.5+G15*0.2)/0.7,""))</x:f>
      </x:c>
      <x:c r="I15" s="89" t="str">
        <x:f>IF(COUNT('Model Scores'!B15)=1,'Model Scores'!B15,"")</x:f>
      </x:c>
      <x:c r="J15" s="89" t="str">
        <x:f>IF(D15="absent","",IF(COUNT('Model Scores'!D15)=1,'Model Scores'!D15,""))</x:f>
      </x:c>
      <x:c r="K15" s="89" t="str">
        <x:f>IF(COUNT('Model Scores'!F15)=1,'Model Scores'!F15,"")</x:f>
      </x:c>
      <x:c r="L15" s="89" t="str">
        <x:f>IF(COUNT('Model Scores'!G15)=1,'Model Scores'!G15,"")</x:f>
      </x:c>
      <x:c r="M15" s="89" t="str">
        <x:f>IF(COUNT(H15,L15)=2,ABS(H15-L15),"")</x:f>
      </x:c>
      <x:c r="N15" s="69" t="str">
        <x:f>IF(AND('Rater 1'!J15="Yes",'Rater 2'!J15="Yes",'Model Scores'!M15="Yes"),"Ready","Pending")</x:f>
        <x:v>Pending</x:v>
      </x:c>
    </x:row>
    <x:row r="16">
      <x:c r="A16" s="25" t="str">
        <x:f>'Sample Manifest'!A16</x:f>
        <x:v>AR-P03-DE</x:v>
      </x:c>
      <x:c r="B16" s="63" t="str">
        <x:f>'Sample Manifest'!B16</x:f>
        <x:v>P03</x:v>
      </x:c>
      <x:c r="C16" s="63" t="str">
        <x:f>'Sample Manifest'!E16</x:f>
        <x:v>DE</x:v>
      </x:c>
      <x:c r="D16" s="63" t="str">
        <x:f>'Sample Manifest'!H16</x:f>
        <x:v>present</x:v>
      </x:c>
      <x:c r="E16" s="89" t="str">
        <x:f>IF(COUNT('Rater 1'!C16,'Rater 2'!C16)=2,AVERAGE('Rater 1'!C16,'Rater 2'!C16),"")</x:f>
      </x:c>
      <x:c r="F16" s="89" t="str">
        <x:f>IF(D16="absent","",IF(COUNT('Rater 1'!F16,'Rater 2'!F16)=2,AVERAGE('Rater 1'!F16,'Rater 2'!F16),""))</x:f>
      </x:c>
      <x:c r="G16" s="89" t="str">
        <x:f>IF(COUNT('Rater 1'!G16,'Rater 2'!G16)=2,AVERAGE('Rater 1'!G16,'Rater 2'!G16),"")</x:f>
      </x:c>
      <x:c r="H16" s="89" t="str">
        <x:f>IF(D16="present",IF(COUNT(E16:G16)=3,E16*0.5+F16*0.3+G16*0.2,""),IF(COUNT(E16,G16)=2,(E16*0.5+G16*0.2)/0.7,""))</x:f>
      </x:c>
      <x:c r="I16" s="89" t="str">
        <x:f>IF(COUNT('Model Scores'!B16)=1,'Model Scores'!B16,"")</x:f>
      </x:c>
      <x:c r="J16" s="89" t="str">
        <x:f>IF(D16="absent","",IF(COUNT('Model Scores'!D16)=1,'Model Scores'!D16,""))</x:f>
      </x:c>
      <x:c r="K16" s="89" t="str">
        <x:f>IF(COUNT('Model Scores'!F16)=1,'Model Scores'!F16,"")</x:f>
      </x:c>
      <x:c r="L16" s="89" t="str">
        <x:f>IF(COUNT('Model Scores'!G16)=1,'Model Scores'!G16,"")</x:f>
      </x:c>
      <x:c r="M16" s="89" t="str">
        <x:f>IF(COUNT(H16,L16)=2,ABS(H16-L16),"")</x:f>
      </x:c>
      <x:c r="N16" s="69" t="str">
        <x:f>IF(AND('Rater 1'!J16="Yes",'Rater 2'!J16="Yes",'Model Scores'!M16="Yes"),"Ready","Pending")</x:f>
        <x:v>Pending</x:v>
      </x:c>
    </x:row>
    <x:row r="17">
      <x:c r="A17" s="25" t="str">
        <x:f>'Sample Manifest'!A17</x:f>
        <x:v>AR-P03-JP</x:v>
      </x:c>
      <x:c r="B17" s="63" t="str">
        <x:f>'Sample Manifest'!B17</x:f>
        <x:v>P03</x:v>
      </x:c>
      <x:c r="C17" s="63" t="str">
        <x:f>'Sample Manifest'!E17</x:f>
        <x:v>JP</x:v>
      </x:c>
      <x:c r="D17" s="63" t="str">
        <x:f>'Sample Manifest'!H17</x:f>
        <x:v>present</x:v>
      </x:c>
      <x:c r="E17" s="89" t="str">
        <x:f>IF(COUNT('Rater 1'!C17,'Rater 2'!C17)=2,AVERAGE('Rater 1'!C17,'Rater 2'!C17),"")</x:f>
      </x:c>
      <x:c r="F17" s="89" t="str">
        <x:f>IF(D17="absent","",IF(COUNT('Rater 1'!F17,'Rater 2'!F17)=2,AVERAGE('Rater 1'!F17,'Rater 2'!F17),""))</x:f>
      </x:c>
      <x:c r="G17" s="89" t="str">
        <x:f>IF(COUNT('Rater 1'!G17,'Rater 2'!G17)=2,AVERAGE('Rater 1'!G17,'Rater 2'!G17),"")</x:f>
      </x:c>
      <x:c r="H17" s="89" t="str">
        <x:f>IF(D17="present",IF(COUNT(E17:G17)=3,E17*0.5+F17*0.3+G17*0.2,""),IF(COUNT(E17,G17)=2,(E17*0.5+G17*0.2)/0.7,""))</x:f>
      </x:c>
      <x:c r="I17" s="89" t="str">
        <x:f>IF(COUNT('Model Scores'!B17)=1,'Model Scores'!B17,"")</x:f>
      </x:c>
      <x:c r="J17" s="89" t="str">
        <x:f>IF(D17="absent","",IF(COUNT('Model Scores'!D17)=1,'Model Scores'!D17,""))</x:f>
      </x:c>
      <x:c r="K17" s="89" t="str">
        <x:f>IF(COUNT('Model Scores'!F17)=1,'Model Scores'!F17,"")</x:f>
      </x:c>
      <x:c r="L17" s="89" t="str">
        <x:f>IF(COUNT('Model Scores'!G17)=1,'Model Scores'!G17,"")</x:f>
      </x:c>
      <x:c r="M17" s="89" t="str">
        <x:f>IF(COUNT(H17,L17)=2,ABS(H17-L17),"")</x:f>
      </x:c>
      <x:c r="N17" s="69" t="str">
        <x:f>IF(AND('Rater 1'!J17="Yes",'Rater 2'!J17="Yes",'Model Scores'!M17="Yes"),"Ready","Pending")</x:f>
        <x:v>Pending</x:v>
      </x:c>
    </x:row>
    <x:row r="18">
      <x:c r="A18" s="25" t="str">
        <x:f>'Sample Manifest'!A18</x:f>
        <x:v>AR-P03-KR</x:v>
      </x:c>
      <x:c r="B18" s="63" t="str">
        <x:f>'Sample Manifest'!B18</x:f>
        <x:v>P03</x:v>
      </x:c>
      <x:c r="C18" s="63" t="str">
        <x:f>'Sample Manifest'!E18</x:f>
        <x:v>KR</x:v>
      </x:c>
      <x:c r="D18" s="63" t="str">
        <x:f>'Sample Manifest'!H18</x:f>
        <x:v>present</x:v>
      </x:c>
      <x:c r="E18" s="89" t="str">
        <x:f>IF(COUNT('Rater 1'!C18,'Rater 2'!C18)=2,AVERAGE('Rater 1'!C18,'Rater 2'!C18),"")</x:f>
      </x:c>
      <x:c r="F18" s="89" t="str">
        <x:f>IF(D18="absent","",IF(COUNT('Rater 1'!F18,'Rater 2'!F18)=2,AVERAGE('Rater 1'!F18,'Rater 2'!F18),""))</x:f>
      </x:c>
      <x:c r="G18" s="89" t="str">
        <x:f>IF(COUNT('Rater 1'!G18,'Rater 2'!G18)=2,AVERAGE('Rater 1'!G18,'Rater 2'!G18),"")</x:f>
      </x:c>
      <x:c r="H18" s="89" t="str">
        <x:f>IF(D18="present",IF(COUNT(E18:G18)=3,E18*0.5+F18*0.3+G18*0.2,""),IF(COUNT(E18,G18)=2,(E18*0.5+G18*0.2)/0.7,""))</x:f>
      </x:c>
      <x:c r="I18" s="89" t="str">
        <x:f>IF(COUNT('Model Scores'!B18)=1,'Model Scores'!B18,"")</x:f>
      </x:c>
      <x:c r="J18" s="89" t="str">
        <x:f>IF(D18="absent","",IF(COUNT('Model Scores'!D18)=1,'Model Scores'!D18,""))</x:f>
      </x:c>
      <x:c r="K18" s="89" t="str">
        <x:f>IF(COUNT('Model Scores'!F18)=1,'Model Scores'!F18,"")</x:f>
      </x:c>
      <x:c r="L18" s="89" t="str">
        <x:f>IF(COUNT('Model Scores'!G18)=1,'Model Scores'!G18,"")</x:f>
      </x:c>
      <x:c r="M18" s="89" t="str">
        <x:f>IF(COUNT(H18,L18)=2,ABS(H18-L18),"")</x:f>
      </x:c>
      <x:c r="N18" s="69" t="str">
        <x:f>IF(AND('Rater 1'!J18="Yes",'Rater 2'!J18="Yes",'Model Scores'!M18="Yes"),"Ready","Pending")</x:f>
        <x:v>Pending</x:v>
      </x:c>
    </x:row>
    <x:row r="19">
      <x:c r="A19" s="25" t="str">
        <x:f>'Sample Manifest'!A19</x:f>
        <x:v>AR-P03-AE</x:v>
      </x:c>
      <x:c r="B19" s="63" t="str">
        <x:f>'Sample Manifest'!B19</x:f>
        <x:v>P03</x:v>
      </x:c>
      <x:c r="C19" s="63" t="str">
        <x:f>'Sample Manifest'!E19</x:f>
        <x:v>AE</x:v>
      </x:c>
      <x:c r="D19" s="63" t="str">
        <x:f>'Sample Manifest'!H19</x:f>
        <x:v>present</x:v>
      </x:c>
      <x:c r="E19" s="89" t="str">
        <x:f>IF(COUNT('Rater 1'!C19,'Rater 2'!C19)=2,AVERAGE('Rater 1'!C19,'Rater 2'!C19),"")</x:f>
      </x:c>
      <x:c r="F19" s="89" t="str">
        <x:f>IF(D19="absent","",IF(COUNT('Rater 1'!F19,'Rater 2'!F19)=2,AVERAGE('Rater 1'!F19,'Rater 2'!F19),""))</x:f>
      </x:c>
      <x:c r="G19" s="89" t="str">
        <x:f>IF(COUNT('Rater 1'!G19,'Rater 2'!G19)=2,AVERAGE('Rater 1'!G19,'Rater 2'!G19),"")</x:f>
      </x:c>
      <x:c r="H19" s="89" t="str">
        <x:f>IF(D19="present",IF(COUNT(E19:G19)=3,E19*0.5+F19*0.3+G19*0.2,""),IF(COUNT(E19,G19)=2,(E19*0.5+G19*0.2)/0.7,""))</x:f>
      </x:c>
      <x:c r="I19" s="89" t="str">
        <x:f>IF(COUNT('Model Scores'!B19)=1,'Model Scores'!B19,"")</x:f>
      </x:c>
      <x:c r="J19" s="89" t="str">
        <x:f>IF(D19="absent","",IF(COUNT('Model Scores'!D19)=1,'Model Scores'!D19,""))</x:f>
      </x:c>
      <x:c r="K19" s="89" t="str">
        <x:f>IF(COUNT('Model Scores'!F19)=1,'Model Scores'!F19,"")</x:f>
      </x:c>
      <x:c r="L19" s="89" t="str">
        <x:f>IF(COUNT('Model Scores'!G19)=1,'Model Scores'!G19,"")</x:f>
      </x:c>
      <x:c r="M19" s="89" t="str">
        <x:f>IF(COUNT(H19,L19)=2,ABS(H19-L19),"")</x:f>
      </x:c>
      <x:c r="N19" s="69" t="str">
        <x:f>IF(AND('Rater 1'!J19="Yes",'Rater 2'!J19="Yes",'Model Scores'!M19="Yes"),"Ready","Pending")</x:f>
        <x:v>Pending</x:v>
      </x:c>
    </x:row>
    <x:row r="20">
      <x:c r="A20" s="25" t="str">
        <x:f>'Sample Manifest'!A20</x:f>
        <x:v>AR-P04-US</x:v>
      </x:c>
      <x:c r="B20" s="63" t="str">
        <x:f>'Sample Manifest'!B20</x:f>
        <x:v>P04</x:v>
      </x:c>
      <x:c r="C20" s="63" t="str">
        <x:f>'Sample Manifest'!E20</x:f>
        <x:v>US</x:v>
      </x:c>
      <x:c r="D20" s="63" t="str">
        <x:f>'Sample Manifest'!H20</x:f>
        <x:v>present</x:v>
      </x:c>
      <x:c r="E20" s="89" t="str">
        <x:f>IF(COUNT('Rater 1'!C20,'Rater 2'!C20)=2,AVERAGE('Rater 1'!C20,'Rater 2'!C20),"")</x:f>
      </x:c>
      <x:c r="F20" s="89" t="str">
        <x:f>IF(D20="absent","",IF(COUNT('Rater 1'!F20,'Rater 2'!F20)=2,AVERAGE('Rater 1'!F20,'Rater 2'!F20),""))</x:f>
      </x:c>
      <x:c r="G20" s="89" t="str">
        <x:f>IF(COUNT('Rater 1'!G20,'Rater 2'!G20)=2,AVERAGE('Rater 1'!G20,'Rater 2'!G20),"")</x:f>
      </x:c>
      <x:c r="H20" s="89" t="str">
        <x:f>IF(D20="present",IF(COUNT(E20:G20)=3,E20*0.5+F20*0.3+G20*0.2,""),IF(COUNT(E20,G20)=2,(E20*0.5+G20*0.2)/0.7,""))</x:f>
      </x:c>
      <x:c r="I20" s="89" t="str">
        <x:f>IF(COUNT('Model Scores'!B20)=1,'Model Scores'!B20,"")</x:f>
      </x:c>
      <x:c r="J20" s="89" t="str">
        <x:f>IF(D20="absent","",IF(COUNT('Model Scores'!D20)=1,'Model Scores'!D20,""))</x:f>
      </x:c>
      <x:c r="K20" s="89" t="str">
        <x:f>IF(COUNT('Model Scores'!F20)=1,'Model Scores'!F20,"")</x:f>
      </x:c>
      <x:c r="L20" s="89" t="str">
        <x:f>IF(COUNT('Model Scores'!G20)=1,'Model Scores'!G20,"")</x:f>
      </x:c>
      <x:c r="M20" s="89" t="str">
        <x:f>IF(COUNT(H20,L20)=2,ABS(H20-L20),"")</x:f>
      </x:c>
      <x:c r="N20" s="69" t="str">
        <x:f>IF(AND('Rater 1'!J20="Yes",'Rater 2'!J20="Yes",'Model Scores'!M20="Yes"),"Ready","Pending")</x:f>
        <x:v>Pending</x:v>
      </x:c>
    </x:row>
    <x:row r="21">
      <x:c r="A21" s="25" t="str">
        <x:f>'Sample Manifest'!A21</x:f>
        <x:v>AR-P04-DE</x:v>
      </x:c>
      <x:c r="B21" s="63" t="str">
        <x:f>'Sample Manifest'!B21</x:f>
        <x:v>P04</x:v>
      </x:c>
      <x:c r="C21" s="63" t="str">
        <x:f>'Sample Manifest'!E21</x:f>
        <x:v>DE</x:v>
      </x:c>
      <x:c r="D21" s="63" t="str">
        <x:f>'Sample Manifest'!H21</x:f>
        <x:v>present</x:v>
      </x:c>
      <x:c r="E21" s="89" t="str">
        <x:f>IF(COUNT('Rater 1'!C21,'Rater 2'!C21)=2,AVERAGE('Rater 1'!C21,'Rater 2'!C21),"")</x:f>
      </x:c>
      <x:c r="F21" s="89" t="str">
        <x:f>IF(D21="absent","",IF(COUNT('Rater 1'!F21,'Rater 2'!F21)=2,AVERAGE('Rater 1'!F21,'Rater 2'!F21),""))</x:f>
      </x:c>
      <x:c r="G21" s="89" t="str">
        <x:f>IF(COUNT('Rater 1'!G21,'Rater 2'!G21)=2,AVERAGE('Rater 1'!G21,'Rater 2'!G21),"")</x:f>
      </x:c>
      <x:c r="H21" s="89" t="str">
        <x:f>IF(D21="present",IF(COUNT(E21:G21)=3,E21*0.5+F21*0.3+G21*0.2,""),IF(COUNT(E21,G21)=2,(E21*0.5+G21*0.2)/0.7,""))</x:f>
      </x:c>
      <x:c r="I21" s="89" t="str">
        <x:f>IF(COUNT('Model Scores'!B21)=1,'Model Scores'!B21,"")</x:f>
      </x:c>
      <x:c r="J21" s="89" t="str">
        <x:f>IF(D21="absent","",IF(COUNT('Model Scores'!D21)=1,'Model Scores'!D21,""))</x:f>
      </x:c>
      <x:c r="K21" s="89" t="str">
        <x:f>IF(COUNT('Model Scores'!F21)=1,'Model Scores'!F21,"")</x:f>
      </x:c>
      <x:c r="L21" s="89" t="str">
        <x:f>IF(COUNT('Model Scores'!G21)=1,'Model Scores'!G21,"")</x:f>
      </x:c>
      <x:c r="M21" s="89" t="str">
        <x:f>IF(COUNT(H21,L21)=2,ABS(H21-L21),"")</x:f>
      </x:c>
      <x:c r="N21" s="69" t="str">
        <x:f>IF(AND('Rater 1'!J21="Yes",'Rater 2'!J21="Yes",'Model Scores'!M21="Yes"),"Ready","Pending")</x:f>
        <x:v>Pending</x:v>
      </x:c>
    </x:row>
    <x:row r="22">
      <x:c r="A22" s="25" t="str">
        <x:f>'Sample Manifest'!A22</x:f>
        <x:v>AR-P04-JP</x:v>
      </x:c>
      <x:c r="B22" s="63" t="str">
        <x:f>'Sample Manifest'!B22</x:f>
        <x:v>P04</x:v>
      </x:c>
      <x:c r="C22" s="63" t="str">
        <x:f>'Sample Manifest'!E22</x:f>
        <x:v>JP</x:v>
      </x:c>
      <x:c r="D22" s="63" t="str">
        <x:f>'Sample Manifest'!H22</x:f>
        <x:v>present</x:v>
      </x:c>
      <x:c r="E22" s="89" t="str">
        <x:f>IF(COUNT('Rater 1'!C22,'Rater 2'!C22)=2,AVERAGE('Rater 1'!C22,'Rater 2'!C22),"")</x:f>
      </x:c>
      <x:c r="F22" s="89" t="str">
        <x:f>IF(D22="absent","",IF(COUNT('Rater 1'!F22,'Rater 2'!F22)=2,AVERAGE('Rater 1'!F22,'Rater 2'!F22),""))</x:f>
      </x:c>
      <x:c r="G22" s="89" t="str">
        <x:f>IF(COUNT('Rater 1'!G22,'Rater 2'!G22)=2,AVERAGE('Rater 1'!G22,'Rater 2'!G22),"")</x:f>
      </x:c>
      <x:c r="H22" s="89" t="str">
        <x:f>IF(D22="present",IF(COUNT(E22:G22)=3,E22*0.5+F22*0.3+G22*0.2,""),IF(COUNT(E22,G22)=2,(E22*0.5+G22*0.2)/0.7,""))</x:f>
      </x:c>
      <x:c r="I22" s="89" t="str">
        <x:f>IF(COUNT('Model Scores'!B22)=1,'Model Scores'!B22,"")</x:f>
      </x:c>
      <x:c r="J22" s="89" t="str">
        <x:f>IF(D22="absent","",IF(COUNT('Model Scores'!D22)=1,'Model Scores'!D22,""))</x:f>
      </x:c>
      <x:c r="K22" s="89" t="str">
        <x:f>IF(COUNT('Model Scores'!F22)=1,'Model Scores'!F22,"")</x:f>
      </x:c>
      <x:c r="L22" s="89" t="str">
        <x:f>IF(COUNT('Model Scores'!G22)=1,'Model Scores'!G22,"")</x:f>
      </x:c>
      <x:c r="M22" s="89" t="str">
        <x:f>IF(COUNT(H22,L22)=2,ABS(H22-L22),"")</x:f>
      </x:c>
      <x:c r="N22" s="69" t="str">
        <x:f>IF(AND('Rater 1'!J22="Yes",'Rater 2'!J22="Yes",'Model Scores'!M22="Yes"),"Ready","Pending")</x:f>
        <x:v>Pending</x:v>
      </x:c>
    </x:row>
    <x:row r="23">
      <x:c r="A23" s="25" t="str">
        <x:f>'Sample Manifest'!A23</x:f>
        <x:v>AR-P04-KR</x:v>
      </x:c>
      <x:c r="B23" s="63" t="str">
        <x:f>'Sample Manifest'!B23</x:f>
        <x:v>P04</x:v>
      </x:c>
      <x:c r="C23" s="63" t="str">
        <x:f>'Sample Manifest'!E23</x:f>
        <x:v>KR</x:v>
      </x:c>
      <x:c r="D23" s="63" t="str">
        <x:f>'Sample Manifest'!H23</x:f>
        <x:v>present</x:v>
      </x:c>
      <x:c r="E23" s="89" t="str">
        <x:f>IF(COUNT('Rater 1'!C23,'Rater 2'!C23)=2,AVERAGE('Rater 1'!C23,'Rater 2'!C23),"")</x:f>
      </x:c>
      <x:c r="F23" s="89" t="str">
        <x:f>IF(D23="absent","",IF(COUNT('Rater 1'!F23,'Rater 2'!F23)=2,AVERAGE('Rater 1'!F23,'Rater 2'!F23),""))</x:f>
      </x:c>
      <x:c r="G23" s="89" t="str">
        <x:f>IF(COUNT('Rater 1'!G23,'Rater 2'!G23)=2,AVERAGE('Rater 1'!G23,'Rater 2'!G23),"")</x:f>
      </x:c>
      <x:c r="H23" s="89" t="str">
        <x:f>IF(D23="present",IF(COUNT(E23:G23)=3,E23*0.5+F23*0.3+G23*0.2,""),IF(COUNT(E23,G23)=2,(E23*0.5+G23*0.2)/0.7,""))</x:f>
      </x:c>
      <x:c r="I23" s="89" t="str">
        <x:f>IF(COUNT('Model Scores'!B23)=1,'Model Scores'!B23,"")</x:f>
      </x:c>
      <x:c r="J23" s="89" t="str">
        <x:f>IF(D23="absent","",IF(COUNT('Model Scores'!D23)=1,'Model Scores'!D23,""))</x:f>
      </x:c>
      <x:c r="K23" s="89" t="str">
        <x:f>IF(COUNT('Model Scores'!F23)=1,'Model Scores'!F23,"")</x:f>
      </x:c>
      <x:c r="L23" s="89" t="str">
        <x:f>IF(COUNT('Model Scores'!G23)=1,'Model Scores'!G23,"")</x:f>
      </x:c>
      <x:c r="M23" s="89" t="str">
        <x:f>IF(COUNT(H23,L23)=2,ABS(H23-L23),"")</x:f>
      </x:c>
      <x:c r="N23" s="69" t="str">
        <x:f>IF(AND('Rater 1'!J23="Yes",'Rater 2'!J23="Yes",'Model Scores'!M23="Yes"),"Ready","Pending")</x:f>
        <x:v>Pending</x:v>
      </x:c>
    </x:row>
    <x:row r="24">
      <x:c r="A24" s="25" t="str">
        <x:f>'Sample Manifest'!A24</x:f>
        <x:v>AR-P04-AE</x:v>
      </x:c>
      <x:c r="B24" s="63" t="str">
        <x:f>'Sample Manifest'!B24</x:f>
        <x:v>P04</x:v>
      </x:c>
      <x:c r="C24" s="63" t="str">
        <x:f>'Sample Manifest'!E24</x:f>
        <x:v>AE</x:v>
      </x:c>
      <x:c r="D24" s="63" t="str">
        <x:f>'Sample Manifest'!H24</x:f>
        <x:v>present</x:v>
      </x:c>
      <x:c r="E24" s="89" t="str">
        <x:f>IF(COUNT('Rater 1'!C24,'Rater 2'!C24)=2,AVERAGE('Rater 1'!C24,'Rater 2'!C24),"")</x:f>
      </x:c>
      <x:c r="F24" s="89" t="str">
        <x:f>IF(D24="absent","",IF(COUNT('Rater 1'!F24,'Rater 2'!F24)=2,AVERAGE('Rater 1'!F24,'Rater 2'!F24),""))</x:f>
      </x:c>
      <x:c r="G24" s="89" t="str">
        <x:f>IF(COUNT('Rater 1'!G24,'Rater 2'!G24)=2,AVERAGE('Rater 1'!G24,'Rater 2'!G24),"")</x:f>
      </x:c>
      <x:c r="H24" s="89" t="str">
        <x:f>IF(D24="present",IF(COUNT(E24:G24)=3,E24*0.5+F24*0.3+G24*0.2,""),IF(COUNT(E24,G24)=2,(E24*0.5+G24*0.2)/0.7,""))</x:f>
      </x:c>
      <x:c r="I24" s="89" t="str">
        <x:f>IF(COUNT('Model Scores'!B24)=1,'Model Scores'!B24,"")</x:f>
      </x:c>
      <x:c r="J24" s="89" t="str">
        <x:f>IF(D24="absent","",IF(COUNT('Model Scores'!D24)=1,'Model Scores'!D24,""))</x:f>
      </x:c>
      <x:c r="K24" s="89" t="str">
        <x:f>IF(COUNT('Model Scores'!F24)=1,'Model Scores'!F24,"")</x:f>
      </x:c>
      <x:c r="L24" s="89" t="str">
        <x:f>IF(COUNT('Model Scores'!G24)=1,'Model Scores'!G24,"")</x:f>
      </x:c>
      <x:c r="M24" s="89" t="str">
        <x:f>IF(COUNT(H24,L24)=2,ABS(H24-L24),"")</x:f>
      </x:c>
      <x:c r="N24" s="69" t="str">
        <x:f>IF(AND('Rater 1'!J24="Yes",'Rater 2'!J24="Yes",'Model Scores'!M24="Yes"),"Ready","Pending")</x:f>
        <x:v>Pending</x:v>
      </x:c>
    </x:row>
    <x:row r="25">
      <x:c r="A25" s="25" t="str">
        <x:f>'Sample Manifest'!A25</x:f>
        <x:v>AR-P05-US</x:v>
      </x:c>
      <x:c r="B25" s="63" t="str">
        <x:f>'Sample Manifest'!B25</x:f>
        <x:v>P05</x:v>
      </x:c>
      <x:c r="C25" s="63" t="str">
        <x:f>'Sample Manifest'!E25</x:f>
        <x:v>US</x:v>
      </x:c>
      <x:c r="D25" s="63" t="str">
        <x:f>'Sample Manifest'!H25</x:f>
        <x:v>present</x:v>
      </x:c>
      <x:c r="E25" s="89" t="str">
        <x:f>IF(COUNT('Rater 1'!C25,'Rater 2'!C25)=2,AVERAGE('Rater 1'!C25,'Rater 2'!C25),"")</x:f>
      </x:c>
      <x:c r="F25" s="89" t="str">
        <x:f>IF(D25="absent","",IF(COUNT('Rater 1'!F25,'Rater 2'!F25)=2,AVERAGE('Rater 1'!F25,'Rater 2'!F25),""))</x:f>
      </x:c>
      <x:c r="G25" s="89" t="str">
        <x:f>IF(COUNT('Rater 1'!G25,'Rater 2'!G25)=2,AVERAGE('Rater 1'!G25,'Rater 2'!G25),"")</x:f>
      </x:c>
      <x:c r="H25" s="89" t="str">
        <x:f>IF(D25="present",IF(COUNT(E25:G25)=3,E25*0.5+F25*0.3+G25*0.2,""),IF(COUNT(E25,G25)=2,(E25*0.5+G25*0.2)/0.7,""))</x:f>
      </x:c>
      <x:c r="I25" s="89" t="str">
        <x:f>IF(COUNT('Model Scores'!B25)=1,'Model Scores'!B25,"")</x:f>
      </x:c>
      <x:c r="J25" s="89" t="str">
        <x:f>IF(D25="absent","",IF(COUNT('Model Scores'!D25)=1,'Model Scores'!D25,""))</x:f>
      </x:c>
      <x:c r="K25" s="89" t="str">
        <x:f>IF(COUNT('Model Scores'!F25)=1,'Model Scores'!F25,"")</x:f>
      </x:c>
      <x:c r="L25" s="89" t="str">
        <x:f>IF(COUNT('Model Scores'!G25)=1,'Model Scores'!G25,"")</x:f>
      </x:c>
      <x:c r="M25" s="89" t="str">
        <x:f>IF(COUNT(H25,L25)=2,ABS(H25-L25),"")</x:f>
      </x:c>
      <x:c r="N25" s="69" t="str">
        <x:f>IF(AND('Rater 1'!J25="Yes",'Rater 2'!J25="Yes",'Model Scores'!M25="Yes"),"Ready","Pending")</x:f>
        <x:v>Pending</x:v>
      </x:c>
    </x:row>
    <x:row r="26">
      <x:c r="A26" s="25" t="str">
        <x:f>'Sample Manifest'!A26</x:f>
        <x:v>AR-P05-DE</x:v>
      </x:c>
      <x:c r="B26" s="63" t="str">
        <x:f>'Sample Manifest'!B26</x:f>
        <x:v>P05</x:v>
      </x:c>
      <x:c r="C26" s="63" t="str">
        <x:f>'Sample Manifest'!E26</x:f>
        <x:v>DE</x:v>
      </x:c>
      <x:c r="D26" s="63" t="str">
        <x:f>'Sample Manifest'!H26</x:f>
        <x:v>present</x:v>
      </x:c>
      <x:c r="E26" s="89" t="str">
        <x:f>IF(COUNT('Rater 1'!C26,'Rater 2'!C26)=2,AVERAGE('Rater 1'!C26,'Rater 2'!C26),"")</x:f>
      </x:c>
      <x:c r="F26" s="89" t="str">
        <x:f>IF(D26="absent","",IF(COUNT('Rater 1'!F26,'Rater 2'!F26)=2,AVERAGE('Rater 1'!F26,'Rater 2'!F26),""))</x:f>
      </x:c>
      <x:c r="G26" s="89" t="str">
        <x:f>IF(COUNT('Rater 1'!G26,'Rater 2'!G26)=2,AVERAGE('Rater 1'!G26,'Rater 2'!G26),"")</x:f>
      </x:c>
      <x:c r="H26" s="89" t="str">
        <x:f>IF(D26="present",IF(COUNT(E26:G26)=3,E26*0.5+F26*0.3+G26*0.2,""),IF(COUNT(E26,G26)=2,(E26*0.5+G26*0.2)/0.7,""))</x:f>
      </x:c>
      <x:c r="I26" s="89" t="str">
        <x:f>IF(COUNT('Model Scores'!B26)=1,'Model Scores'!B26,"")</x:f>
      </x:c>
      <x:c r="J26" s="89" t="str">
        <x:f>IF(D26="absent","",IF(COUNT('Model Scores'!D26)=1,'Model Scores'!D26,""))</x:f>
      </x:c>
      <x:c r="K26" s="89" t="str">
        <x:f>IF(COUNT('Model Scores'!F26)=1,'Model Scores'!F26,"")</x:f>
      </x:c>
      <x:c r="L26" s="89" t="str">
        <x:f>IF(COUNT('Model Scores'!G26)=1,'Model Scores'!G26,"")</x:f>
      </x:c>
      <x:c r="M26" s="89" t="str">
        <x:f>IF(COUNT(H26,L26)=2,ABS(H26-L26),"")</x:f>
      </x:c>
      <x:c r="N26" s="69" t="str">
        <x:f>IF(AND('Rater 1'!J26="Yes",'Rater 2'!J26="Yes",'Model Scores'!M26="Yes"),"Ready","Pending")</x:f>
        <x:v>Pending</x:v>
      </x:c>
    </x:row>
    <x:row r="27">
      <x:c r="A27" s="25" t="str">
        <x:f>'Sample Manifest'!A27</x:f>
        <x:v>AR-P05-JP</x:v>
      </x:c>
      <x:c r="B27" s="63" t="str">
        <x:f>'Sample Manifest'!B27</x:f>
        <x:v>P05</x:v>
      </x:c>
      <x:c r="C27" s="63" t="str">
        <x:f>'Sample Manifest'!E27</x:f>
        <x:v>JP</x:v>
      </x:c>
      <x:c r="D27" s="63" t="str">
        <x:f>'Sample Manifest'!H27</x:f>
        <x:v>present</x:v>
      </x:c>
      <x:c r="E27" s="89" t="str">
        <x:f>IF(COUNT('Rater 1'!C27,'Rater 2'!C27)=2,AVERAGE('Rater 1'!C27,'Rater 2'!C27),"")</x:f>
      </x:c>
      <x:c r="F27" s="89" t="str">
        <x:f>IF(D27="absent","",IF(COUNT('Rater 1'!F27,'Rater 2'!F27)=2,AVERAGE('Rater 1'!F27,'Rater 2'!F27),""))</x:f>
      </x:c>
      <x:c r="G27" s="89" t="str">
        <x:f>IF(COUNT('Rater 1'!G27,'Rater 2'!G27)=2,AVERAGE('Rater 1'!G27,'Rater 2'!G27),"")</x:f>
      </x:c>
      <x:c r="H27" s="89" t="str">
        <x:f>IF(D27="present",IF(COUNT(E27:G27)=3,E27*0.5+F27*0.3+G27*0.2,""),IF(COUNT(E27,G27)=2,(E27*0.5+G27*0.2)/0.7,""))</x:f>
      </x:c>
      <x:c r="I27" s="89" t="str">
        <x:f>IF(COUNT('Model Scores'!B27)=1,'Model Scores'!B27,"")</x:f>
      </x:c>
      <x:c r="J27" s="89" t="str">
        <x:f>IF(D27="absent","",IF(COUNT('Model Scores'!D27)=1,'Model Scores'!D27,""))</x:f>
      </x:c>
      <x:c r="K27" s="89" t="str">
        <x:f>IF(COUNT('Model Scores'!F27)=1,'Model Scores'!F27,"")</x:f>
      </x:c>
      <x:c r="L27" s="89" t="str">
        <x:f>IF(COUNT('Model Scores'!G27)=1,'Model Scores'!G27,"")</x:f>
      </x:c>
      <x:c r="M27" s="89" t="str">
        <x:f>IF(COUNT(H27,L27)=2,ABS(H27-L27),"")</x:f>
      </x:c>
      <x:c r="N27" s="69" t="str">
        <x:f>IF(AND('Rater 1'!J27="Yes",'Rater 2'!J27="Yes",'Model Scores'!M27="Yes"),"Ready","Pending")</x:f>
        <x:v>Pending</x:v>
      </x:c>
    </x:row>
    <x:row r="28">
      <x:c r="A28" s="25" t="str">
        <x:f>'Sample Manifest'!A28</x:f>
        <x:v>AR-P05-KR</x:v>
      </x:c>
      <x:c r="B28" s="63" t="str">
        <x:f>'Sample Manifest'!B28</x:f>
        <x:v>P05</x:v>
      </x:c>
      <x:c r="C28" s="63" t="str">
        <x:f>'Sample Manifest'!E28</x:f>
        <x:v>KR</x:v>
      </x:c>
      <x:c r="D28" s="63" t="str">
        <x:f>'Sample Manifest'!H28</x:f>
        <x:v>present</x:v>
      </x:c>
      <x:c r="E28" s="89" t="str">
        <x:f>IF(COUNT('Rater 1'!C28,'Rater 2'!C28)=2,AVERAGE('Rater 1'!C28,'Rater 2'!C28),"")</x:f>
      </x:c>
      <x:c r="F28" s="89" t="str">
        <x:f>IF(D28="absent","",IF(COUNT('Rater 1'!F28,'Rater 2'!F28)=2,AVERAGE('Rater 1'!F28,'Rater 2'!F28),""))</x:f>
      </x:c>
      <x:c r="G28" s="89" t="str">
        <x:f>IF(COUNT('Rater 1'!G28,'Rater 2'!G28)=2,AVERAGE('Rater 1'!G28,'Rater 2'!G28),"")</x:f>
      </x:c>
      <x:c r="H28" s="89" t="str">
        <x:f>IF(D28="present",IF(COUNT(E28:G28)=3,E28*0.5+F28*0.3+G28*0.2,""),IF(COUNT(E28,G28)=2,(E28*0.5+G28*0.2)/0.7,""))</x:f>
      </x:c>
      <x:c r="I28" s="89" t="str">
        <x:f>IF(COUNT('Model Scores'!B28)=1,'Model Scores'!B28,"")</x:f>
      </x:c>
      <x:c r="J28" s="89" t="str">
        <x:f>IF(D28="absent","",IF(COUNT('Model Scores'!D28)=1,'Model Scores'!D28,""))</x:f>
      </x:c>
      <x:c r="K28" s="89" t="str">
        <x:f>IF(COUNT('Model Scores'!F28)=1,'Model Scores'!F28,"")</x:f>
      </x:c>
      <x:c r="L28" s="89" t="str">
        <x:f>IF(COUNT('Model Scores'!G28)=1,'Model Scores'!G28,"")</x:f>
      </x:c>
      <x:c r="M28" s="89" t="str">
        <x:f>IF(COUNT(H28,L28)=2,ABS(H28-L28),"")</x:f>
      </x:c>
      <x:c r="N28" s="69" t="str">
        <x:f>IF(AND('Rater 1'!J28="Yes",'Rater 2'!J28="Yes",'Model Scores'!M28="Yes"),"Ready","Pending")</x:f>
        <x:v>Pending</x:v>
      </x:c>
    </x:row>
    <x:row r="29">
      <x:c r="A29" s="25" t="str">
        <x:f>'Sample Manifest'!A29</x:f>
        <x:v>AR-P05-AE</x:v>
      </x:c>
      <x:c r="B29" s="63" t="str">
        <x:f>'Sample Manifest'!B29</x:f>
        <x:v>P05</x:v>
      </x:c>
      <x:c r="C29" s="63" t="str">
        <x:f>'Sample Manifest'!E29</x:f>
        <x:v>AE</x:v>
      </x:c>
      <x:c r="D29" s="63" t="str">
        <x:f>'Sample Manifest'!H29</x:f>
        <x:v>present</x:v>
      </x:c>
      <x:c r="E29" s="89" t="str">
        <x:f>IF(COUNT('Rater 1'!C29,'Rater 2'!C29)=2,AVERAGE('Rater 1'!C29,'Rater 2'!C29),"")</x:f>
      </x:c>
      <x:c r="F29" s="89" t="str">
        <x:f>IF(D29="absent","",IF(COUNT('Rater 1'!F29,'Rater 2'!F29)=2,AVERAGE('Rater 1'!F29,'Rater 2'!F29),""))</x:f>
      </x:c>
      <x:c r="G29" s="89" t="str">
        <x:f>IF(COUNT('Rater 1'!G29,'Rater 2'!G29)=2,AVERAGE('Rater 1'!G29,'Rater 2'!G29),"")</x:f>
      </x:c>
      <x:c r="H29" s="89" t="str">
        <x:f>IF(D29="present",IF(COUNT(E29:G29)=3,E29*0.5+F29*0.3+G29*0.2,""),IF(COUNT(E29,G29)=2,(E29*0.5+G29*0.2)/0.7,""))</x:f>
      </x:c>
      <x:c r="I29" s="89" t="str">
        <x:f>IF(COUNT('Model Scores'!B29)=1,'Model Scores'!B29,"")</x:f>
      </x:c>
      <x:c r="J29" s="89" t="str">
        <x:f>IF(D29="absent","",IF(COUNT('Model Scores'!D29)=1,'Model Scores'!D29,""))</x:f>
      </x:c>
      <x:c r="K29" s="89" t="str">
        <x:f>IF(COUNT('Model Scores'!F29)=1,'Model Scores'!F29,"")</x:f>
      </x:c>
      <x:c r="L29" s="89" t="str">
        <x:f>IF(COUNT('Model Scores'!G29)=1,'Model Scores'!G29,"")</x:f>
      </x:c>
      <x:c r="M29" s="89" t="str">
        <x:f>IF(COUNT(H29,L29)=2,ABS(H29-L29),"")</x:f>
      </x:c>
      <x:c r="N29" s="69" t="str">
        <x:f>IF(AND('Rater 1'!J29="Yes",'Rater 2'!J29="Yes",'Model Scores'!M29="Yes"),"Ready","Pending")</x:f>
        <x:v>Pending</x:v>
      </x:c>
    </x:row>
    <x:row r="30">
      <x:c r="A30" s="25" t="str">
        <x:f>'Sample Manifest'!A30</x:f>
        <x:v>AR-P06-US</x:v>
      </x:c>
      <x:c r="B30" s="63" t="str">
        <x:f>'Sample Manifest'!B30</x:f>
        <x:v>P06</x:v>
      </x:c>
      <x:c r="C30" s="63" t="str">
        <x:f>'Sample Manifest'!E30</x:f>
        <x:v>US</x:v>
      </x:c>
      <x:c r="D30" s="63" t="str">
        <x:f>'Sample Manifest'!H30</x:f>
        <x:v>present</x:v>
      </x:c>
      <x:c r="E30" s="89" t="str">
        <x:f>IF(COUNT('Rater 1'!C30,'Rater 2'!C30)=2,AVERAGE('Rater 1'!C30,'Rater 2'!C30),"")</x:f>
      </x:c>
      <x:c r="F30" s="89" t="str">
        <x:f>IF(D30="absent","",IF(COUNT('Rater 1'!F30,'Rater 2'!F30)=2,AVERAGE('Rater 1'!F30,'Rater 2'!F30),""))</x:f>
      </x:c>
      <x:c r="G30" s="89" t="str">
        <x:f>IF(COUNT('Rater 1'!G30,'Rater 2'!G30)=2,AVERAGE('Rater 1'!G30,'Rater 2'!G30),"")</x:f>
      </x:c>
      <x:c r="H30" s="89" t="str">
        <x:f>IF(D30="present",IF(COUNT(E30:G30)=3,E30*0.5+F30*0.3+G30*0.2,""),IF(COUNT(E30,G30)=2,(E30*0.5+G30*0.2)/0.7,""))</x:f>
      </x:c>
      <x:c r="I30" s="89" t="str">
        <x:f>IF(COUNT('Model Scores'!B30)=1,'Model Scores'!B30,"")</x:f>
      </x:c>
      <x:c r="J30" s="89" t="str">
        <x:f>IF(D30="absent","",IF(COUNT('Model Scores'!D30)=1,'Model Scores'!D30,""))</x:f>
      </x:c>
      <x:c r="K30" s="89" t="str">
        <x:f>IF(COUNT('Model Scores'!F30)=1,'Model Scores'!F30,"")</x:f>
      </x:c>
      <x:c r="L30" s="89" t="str">
        <x:f>IF(COUNT('Model Scores'!G30)=1,'Model Scores'!G30,"")</x:f>
      </x:c>
      <x:c r="M30" s="89" t="str">
        <x:f>IF(COUNT(H30,L30)=2,ABS(H30-L30),"")</x:f>
      </x:c>
      <x:c r="N30" s="69" t="str">
        <x:f>IF(AND('Rater 1'!J30="Yes",'Rater 2'!J30="Yes",'Model Scores'!M30="Yes"),"Ready","Pending")</x:f>
        <x:v>Pending</x:v>
      </x:c>
    </x:row>
    <x:row r="31">
      <x:c r="A31" s="25" t="str">
        <x:f>'Sample Manifest'!A31</x:f>
        <x:v>AR-P06-DE</x:v>
      </x:c>
      <x:c r="B31" s="63" t="str">
        <x:f>'Sample Manifest'!B31</x:f>
        <x:v>P06</x:v>
      </x:c>
      <x:c r="C31" s="63" t="str">
        <x:f>'Sample Manifest'!E31</x:f>
        <x:v>DE</x:v>
      </x:c>
      <x:c r="D31" s="63" t="str">
        <x:f>'Sample Manifest'!H31</x:f>
        <x:v>present</x:v>
      </x:c>
      <x:c r="E31" s="89" t="str">
        <x:f>IF(COUNT('Rater 1'!C31,'Rater 2'!C31)=2,AVERAGE('Rater 1'!C31,'Rater 2'!C31),"")</x:f>
      </x:c>
      <x:c r="F31" s="89" t="str">
        <x:f>IF(D31="absent","",IF(COUNT('Rater 1'!F31,'Rater 2'!F31)=2,AVERAGE('Rater 1'!F31,'Rater 2'!F31),""))</x:f>
      </x:c>
      <x:c r="G31" s="89" t="str">
        <x:f>IF(COUNT('Rater 1'!G31,'Rater 2'!G31)=2,AVERAGE('Rater 1'!G31,'Rater 2'!G31),"")</x:f>
      </x:c>
      <x:c r="H31" s="89" t="str">
        <x:f>IF(D31="present",IF(COUNT(E31:G31)=3,E31*0.5+F31*0.3+G31*0.2,""),IF(COUNT(E31,G31)=2,(E31*0.5+G31*0.2)/0.7,""))</x:f>
      </x:c>
      <x:c r="I31" s="89" t="str">
        <x:f>IF(COUNT('Model Scores'!B31)=1,'Model Scores'!B31,"")</x:f>
      </x:c>
      <x:c r="J31" s="89" t="str">
        <x:f>IF(D31="absent","",IF(COUNT('Model Scores'!D31)=1,'Model Scores'!D31,""))</x:f>
      </x:c>
      <x:c r="K31" s="89" t="str">
        <x:f>IF(COUNT('Model Scores'!F31)=1,'Model Scores'!F31,"")</x:f>
      </x:c>
      <x:c r="L31" s="89" t="str">
        <x:f>IF(COUNT('Model Scores'!G31)=1,'Model Scores'!G31,"")</x:f>
      </x:c>
      <x:c r="M31" s="89" t="str">
        <x:f>IF(COUNT(H31,L31)=2,ABS(H31-L31),"")</x:f>
      </x:c>
      <x:c r="N31" s="69" t="str">
        <x:f>IF(AND('Rater 1'!J31="Yes",'Rater 2'!J31="Yes",'Model Scores'!M31="Yes"),"Ready","Pending")</x:f>
        <x:v>Pending</x:v>
      </x:c>
    </x:row>
    <x:row r="32">
      <x:c r="A32" s="25" t="str">
        <x:f>'Sample Manifest'!A32</x:f>
        <x:v>AR-P06-JP</x:v>
      </x:c>
      <x:c r="B32" s="63" t="str">
        <x:f>'Sample Manifest'!B32</x:f>
        <x:v>P06</x:v>
      </x:c>
      <x:c r="C32" s="63" t="str">
        <x:f>'Sample Manifest'!E32</x:f>
        <x:v>JP</x:v>
      </x:c>
      <x:c r="D32" s="63" t="str">
        <x:f>'Sample Manifest'!H32</x:f>
        <x:v>present</x:v>
      </x:c>
      <x:c r="E32" s="89" t="str">
        <x:f>IF(COUNT('Rater 1'!C32,'Rater 2'!C32)=2,AVERAGE('Rater 1'!C32,'Rater 2'!C32),"")</x:f>
      </x:c>
      <x:c r="F32" s="89" t="str">
        <x:f>IF(D32="absent","",IF(COUNT('Rater 1'!F32,'Rater 2'!F32)=2,AVERAGE('Rater 1'!F32,'Rater 2'!F32),""))</x:f>
      </x:c>
      <x:c r="G32" s="89" t="str">
        <x:f>IF(COUNT('Rater 1'!G32,'Rater 2'!G32)=2,AVERAGE('Rater 1'!G32,'Rater 2'!G32),"")</x:f>
      </x:c>
      <x:c r="H32" s="89" t="str">
        <x:f>IF(D32="present",IF(COUNT(E32:G32)=3,E32*0.5+F32*0.3+G32*0.2,""),IF(COUNT(E32,G32)=2,(E32*0.5+G32*0.2)/0.7,""))</x:f>
      </x:c>
      <x:c r="I32" s="89" t="str">
        <x:f>IF(COUNT('Model Scores'!B32)=1,'Model Scores'!B32,"")</x:f>
      </x:c>
      <x:c r="J32" s="89" t="str">
        <x:f>IF(D32="absent","",IF(COUNT('Model Scores'!D32)=1,'Model Scores'!D32,""))</x:f>
      </x:c>
      <x:c r="K32" s="89" t="str">
        <x:f>IF(COUNT('Model Scores'!F32)=1,'Model Scores'!F32,"")</x:f>
      </x:c>
      <x:c r="L32" s="89" t="str">
        <x:f>IF(COUNT('Model Scores'!G32)=1,'Model Scores'!G32,"")</x:f>
      </x:c>
      <x:c r="M32" s="89" t="str">
        <x:f>IF(COUNT(H32,L32)=2,ABS(H32-L32),"")</x:f>
      </x:c>
      <x:c r="N32" s="69" t="str">
        <x:f>IF(AND('Rater 1'!J32="Yes",'Rater 2'!J32="Yes",'Model Scores'!M32="Yes"),"Ready","Pending")</x:f>
        <x:v>Pending</x:v>
      </x:c>
    </x:row>
    <x:row r="33">
      <x:c r="A33" s="25" t="str">
        <x:f>'Sample Manifest'!A33</x:f>
        <x:v>AR-P06-KR</x:v>
      </x:c>
      <x:c r="B33" s="63" t="str">
        <x:f>'Sample Manifest'!B33</x:f>
        <x:v>P06</x:v>
      </x:c>
      <x:c r="C33" s="63" t="str">
        <x:f>'Sample Manifest'!E33</x:f>
        <x:v>KR</x:v>
      </x:c>
      <x:c r="D33" s="63" t="str">
        <x:f>'Sample Manifest'!H33</x:f>
        <x:v>present</x:v>
      </x:c>
      <x:c r="E33" s="89" t="str">
        <x:f>IF(COUNT('Rater 1'!C33,'Rater 2'!C33)=2,AVERAGE('Rater 1'!C33,'Rater 2'!C33),"")</x:f>
      </x:c>
      <x:c r="F33" s="89" t="str">
        <x:f>IF(D33="absent","",IF(COUNT('Rater 1'!F33,'Rater 2'!F33)=2,AVERAGE('Rater 1'!F33,'Rater 2'!F33),""))</x:f>
      </x:c>
      <x:c r="G33" s="89" t="str">
        <x:f>IF(COUNT('Rater 1'!G33,'Rater 2'!G33)=2,AVERAGE('Rater 1'!G33,'Rater 2'!G33),"")</x:f>
      </x:c>
      <x:c r="H33" s="89" t="str">
        <x:f>IF(D33="present",IF(COUNT(E33:G33)=3,E33*0.5+F33*0.3+G33*0.2,""),IF(COUNT(E33,G33)=2,(E33*0.5+G33*0.2)/0.7,""))</x:f>
      </x:c>
      <x:c r="I33" s="89" t="str">
        <x:f>IF(COUNT('Model Scores'!B33)=1,'Model Scores'!B33,"")</x:f>
      </x:c>
      <x:c r="J33" s="89" t="str">
        <x:f>IF(D33="absent","",IF(COUNT('Model Scores'!D33)=1,'Model Scores'!D33,""))</x:f>
      </x:c>
      <x:c r="K33" s="89" t="str">
        <x:f>IF(COUNT('Model Scores'!F33)=1,'Model Scores'!F33,"")</x:f>
      </x:c>
      <x:c r="L33" s="89" t="str">
        <x:f>IF(COUNT('Model Scores'!G33)=1,'Model Scores'!G33,"")</x:f>
      </x:c>
      <x:c r="M33" s="89" t="str">
        <x:f>IF(COUNT(H33,L33)=2,ABS(H33-L33),"")</x:f>
      </x:c>
      <x:c r="N33" s="69" t="str">
        <x:f>IF(AND('Rater 1'!J33="Yes",'Rater 2'!J33="Yes",'Model Scores'!M33="Yes"),"Ready","Pending")</x:f>
        <x:v>Pending</x:v>
      </x:c>
    </x:row>
    <x:row r="34">
      <x:c r="A34" s="25" t="str">
        <x:f>'Sample Manifest'!A34</x:f>
        <x:v>AR-P06-AE</x:v>
      </x:c>
      <x:c r="B34" s="63" t="str">
        <x:f>'Sample Manifest'!B34</x:f>
        <x:v>P06</x:v>
      </x:c>
      <x:c r="C34" s="63" t="str">
        <x:f>'Sample Manifest'!E34</x:f>
        <x:v>AE</x:v>
      </x:c>
      <x:c r="D34" s="63" t="str">
        <x:f>'Sample Manifest'!H34</x:f>
        <x:v>present</x:v>
      </x:c>
      <x:c r="E34" s="89" t="str">
        <x:f>IF(COUNT('Rater 1'!C34,'Rater 2'!C34)=2,AVERAGE('Rater 1'!C34,'Rater 2'!C34),"")</x:f>
      </x:c>
      <x:c r="F34" s="89" t="str">
        <x:f>IF(D34="absent","",IF(COUNT('Rater 1'!F34,'Rater 2'!F34)=2,AVERAGE('Rater 1'!F34,'Rater 2'!F34),""))</x:f>
      </x:c>
      <x:c r="G34" s="89" t="str">
        <x:f>IF(COUNT('Rater 1'!G34,'Rater 2'!G34)=2,AVERAGE('Rater 1'!G34,'Rater 2'!G34),"")</x:f>
      </x:c>
      <x:c r="H34" s="89" t="str">
        <x:f>IF(D34="present",IF(COUNT(E34:G34)=3,E34*0.5+F34*0.3+G34*0.2,""),IF(COUNT(E34,G34)=2,(E34*0.5+G34*0.2)/0.7,""))</x:f>
      </x:c>
      <x:c r="I34" s="89" t="str">
        <x:f>IF(COUNT('Model Scores'!B34)=1,'Model Scores'!B34,"")</x:f>
      </x:c>
      <x:c r="J34" s="89" t="str">
        <x:f>IF(D34="absent","",IF(COUNT('Model Scores'!D34)=1,'Model Scores'!D34,""))</x:f>
      </x:c>
      <x:c r="K34" s="89" t="str">
        <x:f>IF(COUNT('Model Scores'!F34)=1,'Model Scores'!F34,"")</x:f>
      </x:c>
      <x:c r="L34" s="89" t="str">
        <x:f>IF(COUNT('Model Scores'!G34)=1,'Model Scores'!G34,"")</x:f>
      </x:c>
      <x:c r="M34" s="89" t="str">
        <x:f>IF(COUNT(H34,L34)=2,ABS(H34-L34),"")</x:f>
      </x:c>
      <x:c r="N34" s="69" t="str">
        <x:f>IF(AND('Rater 1'!J34="Yes",'Rater 2'!J34="Yes",'Model Scores'!M34="Yes"),"Ready","Pending")</x:f>
        <x:v>Pending</x:v>
      </x:c>
    </x:row>
    <x:row r="35">
      <x:c r="A35" s="25" t="str">
        <x:f>'Sample Manifest'!A35</x:f>
        <x:v>AR-P07-US</x:v>
      </x:c>
      <x:c r="B35" s="63" t="str">
        <x:f>'Sample Manifest'!B35</x:f>
        <x:v>P07</x:v>
      </x:c>
      <x:c r="C35" s="63" t="str">
        <x:f>'Sample Manifest'!E35</x:f>
        <x:v>US</x:v>
      </x:c>
      <x:c r="D35" s="63" t="str">
        <x:f>'Sample Manifest'!H35</x:f>
        <x:v>present</x:v>
      </x:c>
      <x:c r="E35" s="89" t="str">
        <x:f>IF(COUNT('Rater 1'!C35,'Rater 2'!C35)=2,AVERAGE('Rater 1'!C35,'Rater 2'!C35),"")</x:f>
      </x:c>
      <x:c r="F35" s="89" t="str">
        <x:f>IF(D35="absent","",IF(COUNT('Rater 1'!F35,'Rater 2'!F35)=2,AVERAGE('Rater 1'!F35,'Rater 2'!F35),""))</x:f>
      </x:c>
      <x:c r="G35" s="89" t="str">
        <x:f>IF(COUNT('Rater 1'!G35,'Rater 2'!G35)=2,AVERAGE('Rater 1'!G35,'Rater 2'!G35),"")</x:f>
      </x:c>
      <x:c r="H35" s="89" t="str">
        <x:f>IF(D35="present",IF(COUNT(E35:G35)=3,E35*0.5+F35*0.3+G35*0.2,""),IF(COUNT(E35,G35)=2,(E35*0.5+G35*0.2)/0.7,""))</x:f>
      </x:c>
      <x:c r="I35" s="89" t="str">
        <x:f>IF(COUNT('Model Scores'!B35)=1,'Model Scores'!B35,"")</x:f>
      </x:c>
      <x:c r="J35" s="89" t="str">
        <x:f>IF(D35="absent","",IF(COUNT('Model Scores'!D35)=1,'Model Scores'!D35,""))</x:f>
      </x:c>
      <x:c r="K35" s="89" t="str">
        <x:f>IF(COUNT('Model Scores'!F35)=1,'Model Scores'!F35,"")</x:f>
      </x:c>
      <x:c r="L35" s="89" t="str">
        <x:f>IF(COUNT('Model Scores'!G35)=1,'Model Scores'!G35,"")</x:f>
      </x:c>
      <x:c r="M35" s="89" t="str">
        <x:f>IF(COUNT(H35,L35)=2,ABS(H35-L35),"")</x:f>
      </x:c>
      <x:c r="N35" s="69" t="str">
        <x:f>IF(AND('Rater 1'!J35="Yes",'Rater 2'!J35="Yes",'Model Scores'!M35="Yes"),"Ready","Pending")</x:f>
        <x:v>Pending</x:v>
      </x:c>
    </x:row>
    <x:row r="36">
      <x:c r="A36" s="25" t="str">
        <x:f>'Sample Manifest'!A36</x:f>
        <x:v>AR-P07-DE</x:v>
      </x:c>
      <x:c r="B36" s="63" t="str">
        <x:f>'Sample Manifest'!B36</x:f>
        <x:v>P07</x:v>
      </x:c>
      <x:c r="C36" s="63" t="str">
        <x:f>'Sample Manifest'!E36</x:f>
        <x:v>DE</x:v>
      </x:c>
      <x:c r="D36" s="63" t="str">
        <x:f>'Sample Manifest'!H36</x:f>
        <x:v>present</x:v>
      </x:c>
      <x:c r="E36" s="89" t="str">
        <x:f>IF(COUNT('Rater 1'!C36,'Rater 2'!C36)=2,AVERAGE('Rater 1'!C36,'Rater 2'!C36),"")</x:f>
      </x:c>
      <x:c r="F36" s="89" t="str">
        <x:f>IF(D36="absent","",IF(COUNT('Rater 1'!F36,'Rater 2'!F36)=2,AVERAGE('Rater 1'!F36,'Rater 2'!F36),""))</x:f>
      </x:c>
      <x:c r="G36" s="89" t="str">
        <x:f>IF(COUNT('Rater 1'!G36,'Rater 2'!G36)=2,AVERAGE('Rater 1'!G36,'Rater 2'!G36),"")</x:f>
      </x:c>
      <x:c r="H36" s="89" t="str">
        <x:f>IF(D36="present",IF(COUNT(E36:G36)=3,E36*0.5+F36*0.3+G36*0.2,""),IF(COUNT(E36,G36)=2,(E36*0.5+G36*0.2)/0.7,""))</x:f>
      </x:c>
      <x:c r="I36" s="89" t="str">
        <x:f>IF(COUNT('Model Scores'!B36)=1,'Model Scores'!B36,"")</x:f>
      </x:c>
      <x:c r="J36" s="89" t="str">
        <x:f>IF(D36="absent","",IF(COUNT('Model Scores'!D36)=1,'Model Scores'!D36,""))</x:f>
      </x:c>
      <x:c r="K36" s="89" t="str">
        <x:f>IF(COUNT('Model Scores'!F36)=1,'Model Scores'!F36,"")</x:f>
      </x:c>
      <x:c r="L36" s="89" t="str">
        <x:f>IF(COUNT('Model Scores'!G36)=1,'Model Scores'!G36,"")</x:f>
      </x:c>
      <x:c r="M36" s="89" t="str">
        <x:f>IF(COUNT(H36,L36)=2,ABS(H36-L36),"")</x:f>
      </x:c>
      <x:c r="N36" s="69" t="str">
        <x:f>IF(AND('Rater 1'!J36="Yes",'Rater 2'!J36="Yes",'Model Scores'!M36="Yes"),"Ready","Pending")</x:f>
        <x:v>Pending</x:v>
      </x:c>
    </x:row>
    <x:row r="37">
      <x:c r="A37" s="25" t="str">
        <x:f>'Sample Manifest'!A37</x:f>
        <x:v>AR-P07-JP</x:v>
      </x:c>
      <x:c r="B37" s="63" t="str">
        <x:f>'Sample Manifest'!B37</x:f>
        <x:v>P07</x:v>
      </x:c>
      <x:c r="C37" s="63" t="str">
        <x:f>'Sample Manifest'!E37</x:f>
        <x:v>JP</x:v>
      </x:c>
      <x:c r="D37" s="63" t="str">
        <x:f>'Sample Manifest'!H37</x:f>
        <x:v>present</x:v>
      </x:c>
      <x:c r="E37" s="89" t="str">
        <x:f>IF(COUNT('Rater 1'!C37,'Rater 2'!C37)=2,AVERAGE('Rater 1'!C37,'Rater 2'!C37),"")</x:f>
      </x:c>
      <x:c r="F37" s="89" t="str">
        <x:f>IF(D37="absent","",IF(COUNT('Rater 1'!F37,'Rater 2'!F37)=2,AVERAGE('Rater 1'!F37,'Rater 2'!F37),""))</x:f>
      </x:c>
      <x:c r="G37" s="89" t="str">
        <x:f>IF(COUNT('Rater 1'!G37,'Rater 2'!G37)=2,AVERAGE('Rater 1'!G37,'Rater 2'!G37),"")</x:f>
      </x:c>
      <x:c r="H37" s="89" t="str">
        <x:f>IF(D37="present",IF(COUNT(E37:G37)=3,E37*0.5+F37*0.3+G37*0.2,""),IF(COUNT(E37,G37)=2,(E37*0.5+G37*0.2)/0.7,""))</x:f>
      </x:c>
      <x:c r="I37" s="89" t="str">
        <x:f>IF(COUNT('Model Scores'!B37)=1,'Model Scores'!B37,"")</x:f>
      </x:c>
      <x:c r="J37" s="89" t="str">
        <x:f>IF(D37="absent","",IF(COUNT('Model Scores'!D37)=1,'Model Scores'!D37,""))</x:f>
      </x:c>
      <x:c r="K37" s="89" t="str">
        <x:f>IF(COUNT('Model Scores'!F37)=1,'Model Scores'!F37,"")</x:f>
      </x:c>
      <x:c r="L37" s="89" t="str">
        <x:f>IF(COUNT('Model Scores'!G37)=1,'Model Scores'!G37,"")</x:f>
      </x:c>
      <x:c r="M37" s="89" t="str">
        <x:f>IF(COUNT(H37,L37)=2,ABS(H37-L37),"")</x:f>
      </x:c>
      <x:c r="N37" s="69" t="str">
        <x:f>IF(AND('Rater 1'!J37="Yes",'Rater 2'!J37="Yes",'Model Scores'!M37="Yes"),"Ready","Pending")</x:f>
        <x:v>Pending</x:v>
      </x:c>
    </x:row>
    <x:row r="38">
      <x:c r="A38" s="25" t="str">
        <x:f>'Sample Manifest'!A38</x:f>
        <x:v>AR-P07-KR</x:v>
      </x:c>
      <x:c r="B38" s="63" t="str">
        <x:f>'Sample Manifest'!B38</x:f>
        <x:v>P07</x:v>
      </x:c>
      <x:c r="C38" s="63" t="str">
        <x:f>'Sample Manifest'!E38</x:f>
        <x:v>KR</x:v>
      </x:c>
      <x:c r="D38" s="63" t="str">
        <x:f>'Sample Manifest'!H38</x:f>
        <x:v>present</x:v>
      </x:c>
      <x:c r="E38" s="89" t="str">
        <x:f>IF(COUNT('Rater 1'!C38,'Rater 2'!C38)=2,AVERAGE('Rater 1'!C38,'Rater 2'!C38),"")</x:f>
      </x:c>
      <x:c r="F38" s="89" t="str">
        <x:f>IF(D38="absent","",IF(COUNT('Rater 1'!F38,'Rater 2'!F38)=2,AVERAGE('Rater 1'!F38,'Rater 2'!F38),""))</x:f>
      </x:c>
      <x:c r="G38" s="89" t="str">
        <x:f>IF(COUNT('Rater 1'!G38,'Rater 2'!G38)=2,AVERAGE('Rater 1'!G38,'Rater 2'!G38),"")</x:f>
      </x:c>
      <x:c r="H38" s="89" t="str">
        <x:f>IF(D38="present",IF(COUNT(E38:G38)=3,E38*0.5+F38*0.3+G38*0.2,""),IF(COUNT(E38,G38)=2,(E38*0.5+G38*0.2)/0.7,""))</x:f>
      </x:c>
      <x:c r="I38" s="89" t="str">
        <x:f>IF(COUNT('Model Scores'!B38)=1,'Model Scores'!B38,"")</x:f>
      </x:c>
      <x:c r="J38" s="89" t="str">
        <x:f>IF(D38="absent","",IF(COUNT('Model Scores'!D38)=1,'Model Scores'!D38,""))</x:f>
      </x:c>
      <x:c r="K38" s="89" t="str">
        <x:f>IF(COUNT('Model Scores'!F38)=1,'Model Scores'!F38,"")</x:f>
      </x:c>
      <x:c r="L38" s="89" t="str">
        <x:f>IF(COUNT('Model Scores'!G38)=1,'Model Scores'!G38,"")</x:f>
      </x:c>
      <x:c r="M38" s="89" t="str">
        <x:f>IF(COUNT(H38,L38)=2,ABS(H38-L38),"")</x:f>
      </x:c>
      <x:c r="N38" s="69" t="str">
        <x:f>IF(AND('Rater 1'!J38="Yes",'Rater 2'!J38="Yes",'Model Scores'!M38="Yes"),"Ready","Pending")</x:f>
        <x:v>Pending</x:v>
      </x:c>
    </x:row>
    <x:row r="39">
      <x:c r="A39" s="25" t="str">
        <x:f>'Sample Manifest'!A39</x:f>
        <x:v>AR-P07-AE</x:v>
      </x:c>
      <x:c r="B39" s="63" t="str">
        <x:f>'Sample Manifest'!B39</x:f>
        <x:v>P07</x:v>
      </x:c>
      <x:c r="C39" s="63" t="str">
        <x:f>'Sample Manifest'!E39</x:f>
        <x:v>AE</x:v>
      </x:c>
      <x:c r="D39" s="63" t="str">
        <x:f>'Sample Manifest'!H39</x:f>
        <x:v>present</x:v>
      </x:c>
      <x:c r="E39" s="89" t="str">
        <x:f>IF(COUNT('Rater 1'!C39,'Rater 2'!C39)=2,AVERAGE('Rater 1'!C39,'Rater 2'!C39),"")</x:f>
      </x:c>
      <x:c r="F39" s="89" t="str">
        <x:f>IF(D39="absent","",IF(COUNT('Rater 1'!F39,'Rater 2'!F39)=2,AVERAGE('Rater 1'!F39,'Rater 2'!F39),""))</x:f>
      </x:c>
      <x:c r="G39" s="89" t="str">
        <x:f>IF(COUNT('Rater 1'!G39,'Rater 2'!G39)=2,AVERAGE('Rater 1'!G39,'Rater 2'!G39),"")</x:f>
      </x:c>
      <x:c r="H39" s="89" t="str">
        <x:f>IF(D39="present",IF(COUNT(E39:G39)=3,E39*0.5+F39*0.3+G39*0.2,""),IF(COUNT(E39,G39)=2,(E39*0.5+G39*0.2)/0.7,""))</x:f>
      </x:c>
      <x:c r="I39" s="89" t="str">
        <x:f>IF(COUNT('Model Scores'!B39)=1,'Model Scores'!B39,"")</x:f>
      </x:c>
      <x:c r="J39" s="89" t="str">
        <x:f>IF(D39="absent","",IF(COUNT('Model Scores'!D39)=1,'Model Scores'!D39,""))</x:f>
      </x:c>
      <x:c r="K39" s="89" t="str">
        <x:f>IF(COUNT('Model Scores'!F39)=1,'Model Scores'!F39,"")</x:f>
      </x:c>
      <x:c r="L39" s="89" t="str">
        <x:f>IF(COUNT('Model Scores'!G39)=1,'Model Scores'!G39,"")</x:f>
      </x:c>
      <x:c r="M39" s="89" t="str">
        <x:f>IF(COUNT(H39,L39)=2,ABS(H39-L39),"")</x:f>
      </x:c>
      <x:c r="N39" s="69" t="str">
        <x:f>IF(AND('Rater 1'!J39="Yes",'Rater 2'!J39="Yes",'Model Scores'!M39="Yes"),"Ready","Pending")</x:f>
        <x:v>Pending</x:v>
      </x:c>
    </x:row>
    <x:row r="40">
      <x:c r="A40" s="25" t="str">
        <x:f>'Sample Manifest'!A40</x:f>
        <x:v>AR-P08-US</x:v>
      </x:c>
      <x:c r="B40" s="63" t="str">
        <x:f>'Sample Manifest'!B40</x:f>
        <x:v>P08</x:v>
      </x:c>
      <x:c r="C40" s="63" t="str">
        <x:f>'Sample Manifest'!E40</x:f>
        <x:v>US</x:v>
      </x:c>
      <x:c r="D40" s="63" t="str">
        <x:f>'Sample Manifest'!H40</x:f>
        <x:v>present</x:v>
      </x:c>
      <x:c r="E40" s="89" t="str">
        <x:f>IF(COUNT('Rater 1'!C40,'Rater 2'!C40)=2,AVERAGE('Rater 1'!C40,'Rater 2'!C40),"")</x:f>
      </x:c>
      <x:c r="F40" s="89" t="str">
        <x:f>IF(D40="absent","",IF(COUNT('Rater 1'!F40,'Rater 2'!F40)=2,AVERAGE('Rater 1'!F40,'Rater 2'!F40),""))</x:f>
      </x:c>
      <x:c r="G40" s="89" t="str">
        <x:f>IF(COUNT('Rater 1'!G40,'Rater 2'!G40)=2,AVERAGE('Rater 1'!G40,'Rater 2'!G40),"")</x:f>
      </x:c>
      <x:c r="H40" s="89" t="str">
        <x:f>IF(D40="present",IF(COUNT(E40:G40)=3,E40*0.5+F40*0.3+G40*0.2,""),IF(COUNT(E40,G40)=2,(E40*0.5+G40*0.2)/0.7,""))</x:f>
      </x:c>
      <x:c r="I40" s="89" t="str">
        <x:f>IF(COUNT('Model Scores'!B40)=1,'Model Scores'!B40,"")</x:f>
      </x:c>
      <x:c r="J40" s="89" t="str">
        <x:f>IF(D40="absent","",IF(COUNT('Model Scores'!D40)=1,'Model Scores'!D40,""))</x:f>
      </x:c>
      <x:c r="K40" s="89" t="str">
        <x:f>IF(COUNT('Model Scores'!F40)=1,'Model Scores'!F40,"")</x:f>
      </x:c>
      <x:c r="L40" s="89" t="str">
        <x:f>IF(COUNT('Model Scores'!G40)=1,'Model Scores'!G40,"")</x:f>
      </x:c>
      <x:c r="M40" s="89" t="str">
        <x:f>IF(COUNT(H40,L40)=2,ABS(H40-L40),"")</x:f>
      </x:c>
      <x:c r="N40" s="69" t="str">
        <x:f>IF(AND('Rater 1'!J40="Yes",'Rater 2'!J40="Yes",'Model Scores'!M40="Yes"),"Ready","Pending")</x:f>
        <x:v>Pending</x:v>
      </x:c>
    </x:row>
    <x:row r="41">
      <x:c r="A41" s="25" t="str">
        <x:f>'Sample Manifest'!A41</x:f>
        <x:v>AR-P08-DE</x:v>
      </x:c>
      <x:c r="B41" s="63" t="str">
        <x:f>'Sample Manifest'!B41</x:f>
        <x:v>P08</x:v>
      </x:c>
      <x:c r="C41" s="63" t="str">
        <x:f>'Sample Manifest'!E41</x:f>
        <x:v>DE</x:v>
      </x:c>
      <x:c r="D41" s="63" t="str">
        <x:f>'Sample Manifest'!H41</x:f>
        <x:v>present</x:v>
      </x:c>
      <x:c r="E41" s="89" t="str">
        <x:f>IF(COUNT('Rater 1'!C41,'Rater 2'!C41)=2,AVERAGE('Rater 1'!C41,'Rater 2'!C41),"")</x:f>
      </x:c>
      <x:c r="F41" s="89" t="str">
        <x:f>IF(D41="absent","",IF(COUNT('Rater 1'!F41,'Rater 2'!F41)=2,AVERAGE('Rater 1'!F41,'Rater 2'!F41),""))</x:f>
      </x:c>
      <x:c r="G41" s="89" t="str">
        <x:f>IF(COUNT('Rater 1'!G41,'Rater 2'!G41)=2,AVERAGE('Rater 1'!G41,'Rater 2'!G41),"")</x:f>
      </x:c>
      <x:c r="H41" s="89" t="str">
        <x:f>IF(D41="present",IF(COUNT(E41:G41)=3,E41*0.5+F41*0.3+G41*0.2,""),IF(COUNT(E41,G41)=2,(E41*0.5+G41*0.2)/0.7,""))</x:f>
      </x:c>
      <x:c r="I41" s="89" t="str">
        <x:f>IF(COUNT('Model Scores'!B41)=1,'Model Scores'!B41,"")</x:f>
      </x:c>
      <x:c r="J41" s="89" t="str">
        <x:f>IF(D41="absent","",IF(COUNT('Model Scores'!D41)=1,'Model Scores'!D41,""))</x:f>
      </x:c>
      <x:c r="K41" s="89" t="str">
        <x:f>IF(COUNT('Model Scores'!F41)=1,'Model Scores'!F41,"")</x:f>
      </x:c>
      <x:c r="L41" s="89" t="str">
        <x:f>IF(COUNT('Model Scores'!G41)=1,'Model Scores'!G41,"")</x:f>
      </x:c>
      <x:c r="M41" s="89" t="str">
        <x:f>IF(COUNT(H41,L41)=2,ABS(H41-L41),"")</x:f>
      </x:c>
      <x:c r="N41" s="69" t="str">
        <x:f>IF(AND('Rater 1'!J41="Yes",'Rater 2'!J41="Yes",'Model Scores'!M41="Yes"),"Ready","Pending")</x:f>
        <x:v>Pending</x:v>
      </x:c>
    </x:row>
    <x:row r="42">
      <x:c r="A42" s="25" t="str">
        <x:f>'Sample Manifest'!A42</x:f>
        <x:v>AR-P08-JP</x:v>
      </x:c>
      <x:c r="B42" s="63" t="str">
        <x:f>'Sample Manifest'!B42</x:f>
        <x:v>P08</x:v>
      </x:c>
      <x:c r="C42" s="63" t="str">
        <x:f>'Sample Manifest'!E42</x:f>
        <x:v>JP</x:v>
      </x:c>
      <x:c r="D42" s="63" t="str">
        <x:f>'Sample Manifest'!H42</x:f>
        <x:v>present</x:v>
      </x:c>
      <x:c r="E42" s="89" t="str">
        <x:f>IF(COUNT('Rater 1'!C42,'Rater 2'!C42)=2,AVERAGE('Rater 1'!C42,'Rater 2'!C42),"")</x:f>
      </x:c>
      <x:c r="F42" s="89" t="str">
        <x:f>IF(D42="absent","",IF(COUNT('Rater 1'!F42,'Rater 2'!F42)=2,AVERAGE('Rater 1'!F42,'Rater 2'!F42),""))</x:f>
      </x:c>
      <x:c r="G42" s="89" t="str">
        <x:f>IF(COUNT('Rater 1'!G42,'Rater 2'!G42)=2,AVERAGE('Rater 1'!G42,'Rater 2'!G42),"")</x:f>
      </x:c>
      <x:c r="H42" s="89" t="str">
        <x:f>IF(D42="present",IF(COUNT(E42:G42)=3,E42*0.5+F42*0.3+G42*0.2,""),IF(COUNT(E42,G42)=2,(E42*0.5+G42*0.2)/0.7,""))</x:f>
      </x:c>
      <x:c r="I42" s="89" t="str">
        <x:f>IF(COUNT('Model Scores'!B42)=1,'Model Scores'!B42,"")</x:f>
      </x:c>
      <x:c r="J42" s="89" t="str">
        <x:f>IF(D42="absent","",IF(COUNT('Model Scores'!D42)=1,'Model Scores'!D42,""))</x:f>
      </x:c>
      <x:c r="K42" s="89" t="str">
        <x:f>IF(COUNT('Model Scores'!F42)=1,'Model Scores'!F42,"")</x:f>
      </x:c>
      <x:c r="L42" s="89" t="str">
        <x:f>IF(COUNT('Model Scores'!G42)=1,'Model Scores'!G42,"")</x:f>
      </x:c>
      <x:c r="M42" s="89" t="str">
        <x:f>IF(COUNT(H42,L42)=2,ABS(H42-L42),"")</x:f>
      </x:c>
      <x:c r="N42" s="69" t="str">
        <x:f>IF(AND('Rater 1'!J42="Yes",'Rater 2'!J42="Yes",'Model Scores'!M42="Yes"),"Ready","Pending")</x:f>
        <x:v>Pending</x:v>
      </x:c>
    </x:row>
    <x:row r="43">
      <x:c r="A43" s="25" t="str">
        <x:f>'Sample Manifest'!A43</x:f>
        <x:v>AR-P08-KR</x:v>
      </x:c>
      <x:c r="B43" s="63" t="str">
        <x:f>'Sample Manifest'!B43</x:f>
        <x:v>P08</x:v>
      </x:c>
      <x:c r="C43" s="63" t="str">
        <x:f>'Sample Manifest'!E43</x:f>
        <x:v>KR</x:v>
      </x:c>
      <x:c r="D43" s="63" t="str">
        <x:f>'Sample Manifest'!H43</x:f>
        <x:v>present</x:v>
      </x:c>
      <x:c r="E43" s="89" t="str">
        <x:f>IF(COUNT('Rater 1'!C43,'Rater 2'!C43)=2,AVERAGE('Rater 1'!C43,'Rater 2'!C43),"")</x:f>
      </x:c>
      <x:c r="F43" s="89" t="str">
        <x:f>IF(D43="absent","",IF(COUNT('Rater 1'!F43,'Rater 2'!F43)=2,AVERAGE('Rater 1'!F43,'Rater 2'!F43),""))</x:f>
      </x:c>
      <x:c r="G43" s="89" t="str">
        <x:f>IF(COUNT('Rater 1'!G43,'Rater 2'!G43)=2,AVERAGE('Rater 1'!G43,'Rater 2'!G43),"")</x:f>
      </x:c>
      <x:c r="H43" s="89" t="str">
        <x:f>IF(D43="present",IF(COUNT(E43:G43)=3,E43*0.5+F43*0.3+G43*0.2,""),IF(COUNT(E43,G43)=2,(E43*0.5+G43*0.2)/0.7,""))</x:f>
      </x:c>
      <x:c r="I43" s="89" t="str">
        <x:f>IF(COUNT('Model Scores'!B43)=1,'Model Scores'!B43,"")</x:f>
      </x:c>
      <x:c r="J43" s="89" t="str">
        <x:f>IF(D43="absent","",IF(COUNT('Model Scores'!D43)=1,'Model Scores'!D43,""))</x:f>
      </x:c>
      <x:c r="K43" s="89" t="str">
        <x:f>IF(COUNT('Model Scores'!F43)=1,'Model Scores'!F43,"")</x:f>
      </x:c>
      <x:c r="L43" s="89" t="str">
        <x:f>IF(COUNT('Model Scores'!G43)=1,'Model Scores'!G43,"")</x:f>
      </x:c>
      <x:c r="M43" s="89" t="str">
        <x:f>IF(COUNT(H43,L43)=2,ABS(H43-L43),"")</x:f>
      </x:c>
      <x:c r="N43" s="69" t="str">
        <x:f>IF(AND('Rater 1'!J43="Yes",'Rater 2'!J43="Yes",'Model Scores'!M43="Yes"),"Ready","Pending")</x:f>
        <x:v>Pending</x:v>
      </x:c>
    </x:row>
    <x:row r="44">
      <x:c r="A44" s="25" t="str">
        <x:f>'Sample Manifest'!A44</x:f>
        <x:v>AR-P08-AE</x:v>
      </x:c>
      <x:c r="B44" s="63" t="str">
        <x:f>'Sample Manifest'!B44</x:f>
        <x:v>P08</x:v>
      </x:c>
      <x:c r="C44" s="63" t="str">
        <x:f>'Sample Manifest'!E44</x:f>
        <x:v>AE</x:v>
      </x:c>
      <x:c r="D44" s="63" t="str">
        <x:f>'Sample Manifest'!H44</x:f>
        <x:v>present</x:v>
      </x:c>
      <x:c r="E44" s="89" t="str">
        <x:f>IF(COUNT('Rater 1'!C44,'Rater 2'!C44)=2,AVERAGE('Rater 1'!C44,'Rater 2'!C44),"")</x:f>
      </x:c>
      <x:c r="F44" s="89" t="str">
        <x:f>IF(D44="absent","",IF(COUNT('Rater 1'!F44,'Rater 2'!F44)=2,AVERAGE('Rater 1'!F44,'Rater 2'!F44),""))</x:f>
      </x:c>
      <x:c r="G44" s="89" t="str">
        <x:f>IF(COUNT('Rater 1'!G44,'Rater 2'!G44)=2,AVERAGE('Rater 1'!G44,'Rater 2'!G44),"")</x:f>
      </x:c>
      <x:c r="H44" s="89" t="str">
        <x:f>IF(D44="present",IF(COUNT(E44:G44)=3,E44*0.5+F44*0.3+G44*0.2,""),IF(COUNT(E44,G44)=2,(E44*0.5+G44*0.2)/0.7,""))</x:f>
      </x:c>
      <x:c r="I44" s="89" t="str">
        <x:f>IF(COUNT('Model Scores'!B44)=1,'Model Scores'!B44,"")</x:f>
      </x:c>
      <x:c r="J44" s="89" t="str">
        <x:f>IF(D44="absent","",IF(COUNT('Model Scores'!D44)=1,'Model Scores'!D44,""))</x:f>
      </x:c>
      <x:c r="K44" s="89" t="str">
        <x:f>IF(COUNT('Model Scores'!F44)=1,'Model Scores'!F44,"")</x:f>
      </x:c>
      <x:c r="L44" s="89" t="str">
        <x:f>IF(COUNT('Model Scores'!G44)=1,'Model Scores'!G44,"")</x:f>
      </x:c>
      <x:c r="M44" s="89" t="str">
        <x:f>IF(COUNT(H44,L44)=2,ABS(H44-L44),"")</x:f>
      </x:c>
      <x:c r="N44" s="69" t="str">
        <x:f>IF(AND('Rater 1'!J44="Yes",'Rater 2'!J44="Yes",'Model Scores'!M44="Yes"),"Ready","Pending")</x:f>
        <x:v>Pending</x:v>
      </x:c>
    </x:row>
    <x:row r="45">
      <x:c r="A45" s="25" t="str">
        <x:f>'Sample Manifest'!A45</x:f>
        <x:v>AR-P09-US</x:v>
      </x:c>
      <x:c r="B45" s="63" t="str">
        <x:f>'Sample Manifest'!B45</x:f>
        <x:v>P09</x:v>
      </x:c>
      <x:c r="C45" s="63" t="str">
        <x:f>'Sample Manifest'!E45</x:f>
        <x:v>US</x:v>
      </x:c>
      <x:c r="D45" s="63" t="str">
        <x:f>'Sample Manifest'!H45</x:f>
        <x:v>absent</x:v>
      </x:c>
      <x:c r="E45" s="89" t="str">
        <x:f>IF(COUNT('Rater 1'!C45,'Rater 2'!C45)=2,AVERAGE('Rater 1'!C45,'Rater 2'!C45),"")</x:f>
      </x:c>
      <x:c r="F45" s="89" t="str">
        <x:f>IF(D45="absent","",IF(COUNT('Rater 1'!F45,'Rater 2'!F45)=2,AVERAGE('Rater 1'!F45,'Rater 2'!F45),""))</x:f>
      </x:c>
      <x:c r="G45" s="89" t="str">
        <x:f>IF(COUNT('Rater 1'!G45,'Rater 2'!G45)=2,AVERAGE('Rater 1'!G45,'Rater 2'!G45),"")</x:f>
      </x:c>
      <x:c r="H45" s="89" t="str">
        <x:f>IF(D45="present",IF(COUNT(E45:G45)=3,E45*0.5+F45*0.3+G45*0.2,""),IF(COUNT(E45,G45)=2,(E45*0.5+G45*0.2)/0.7,""))</x:f>
      </x:c>
      <x:c r="I45" s="89" t="str">
        <x:f>IF(COUNT('Model Scores'!B45)=1,'Model Scores'!B45,"")</x:f>
      </x:c>
      <x:c r="J45" s="89" t="str">
        <x:f>IF(D45="absent","",IF(COUNT('Model Scores'!D45)=1,'Model Scores'!D45,""))</x:f>
      </x:c>
      <x:c r="K45" s="89" t="str">
        <x:f>IF(COUNT('Model Scores'!F45)=1,'Model Scores'!F45,"")</x:f>
      </x:c>
      <x:c r="L45" s="89" t="str">
        <x:f>IF(COUNT('Model Scores'!G45)=1,'Model Scores'!G45,"")</x:f>
      </x:c>
      <x:c r="M45" s="89" t="str">
        <x:f>IF(COUNT(H45,L45)=2,ABS(H45-L45),"")</x:f>
      </x:c>
      <x:c r="N45" s="69" t="str">
        <x:f>IF(AND('Rater 1'!J45="Yes",'Rater 2'!J45="Yes",'Model Scores'!M45="Yes"),"Ready","Pending")</x:f>
        <x:v>Pending</x:v>
      </x:c>
    </x:row>
    <x:row r="46">
      <x:c r="A46" s="25" t="str">
        <x:f>'Sample Manifest'!A46</x:f>
        <x:v>AR-P09-DE</x:v>
      </x:c>
      <x:c r="B46" s="63" t="str">
        <x:f>'Sample Manifest'!B46</x:f>
        <x:v>P09</x:v>
      </x:c>
      <x:c r="C46" s="63" t="str">
        <x:f>'Sample Manifest'!E46</x:f>
        <x:v>DE</x:v>
      </x:c>
      <x:c r="D46" s="63" t="str">
        <x:f>'Sample Manifest'!H46</x:f>
        <x:v>absent</x:v>
      </x:c>
      <x:c r="E46" s="89" t="str">
        <x:f>IF(COUNT('Rater 1'!C46,'Rater 2'!C46)=2,AVERAGE('Rater 1'!C46,'Rater 2'!C46),"")</x:f>
      </x:c>
      <x:c r="F46" s="89" t="str">
        <x:f>IF(D46="absent","",IF(COUNT('Rater 1'!F46,'Rater 2'!F46)=2,AVERAGE('Rater 1'!F46,'Rater 2'!F46),""))</x:f>
      </x:c>
      <x:c r="G46" s="89" t="str">
        <x:f>IF(COUNT('Rater 1'!G46,'Rater 2'!G46)=2,AVERAGE('Rater 1'!G46,'Rater 2'!G46),"")</x:f>
      </x:c>
      <x:c r="H46" s="89" t="str">
        <x:f>IF(D46="present",IF(COUNT(E46:G46)=3,E46*0.5+F46*0.3+G46*0.2,""),IF(COUNT(E46,G46)=2,(E46*0.5+G46*0.2)/0.7,""))</x:f>
      </x:c>
      <x:c r="I46" s="89" t="str">
        <x:f>IF(COUNT('Model Scores'!B46)=1,'Model Scores'!B46,"")</x:f>
      </x:c>
      <x:c r="J46" s="89" t="str">
        <x:f>IF(D46="absent","",IF(COUNT('Model Scores'!D46)=1,'Model Scores'!D46,""))</x:f>
      </x:c>
      <x:c r="K46" s="89" t="str">
        <x:f>IF(COUNT('Model Scores'!F46)=1,'Model Scores'!F46,"")</x:f>
      </x:c>
      <x:c r="L46" s="89" t="str">
        <x:f>IF(COUNT('Model Scores'!G46)=1,'Model Scores'!G46,"")</x:f>
      </x:c>
      <x:c r="M46" s="89" t="str">
        <x:f>IF(COUNT(H46,L46)=2,ABS(H46-L46),"")</x:f>
      </x:c>
      <x:c r="N46" s="69" t="str">
        <x:f>IF(AND('Rater 1'!J46="Yes",'Rater 2'!J46="Yes",'Model Scores'!M46="Yes"),"Ready","Pending")</x:f>
        <x:v>Pending</x:v>
      </x:c>
    </x:row>
    <x:row r="47">
      <x:c r="A47" s="25" t="str">
        <x:f>'Sample Manifest'!A47</x:f>
        <x:v>AR-P09-JP</x:v>
      </x:c>
      <x:c r="B47" s="63" t="str">
        <x:f>'Sample Manifest'!B47</x:f>
        <x:v>P09</x:v>
      </x:c>
      <x:c r="C47" s="63" t="str">
        <x:f>'Sample Manifest'!E47</x:f>
        <x:v>JP</x:v>
      </x:c>
      <x:c r="D47" s="63" t="str">
        <x:f>'Sample Manifest'!H47</x:f>
        <x:v>absent</x:v>
      </x:c>
      <x:c r="E47" s="89" t="str">
        <x:f>IF(COUNT('Rater 1'!C47,'Rater 2'!C47)=2,AVERAGE('Rater 1'!C47,'Rater 2'!C47),"")</x:f>
      </x:c>
      <x:c r="F47" s="89" t="str">
        <x:f>IF(D47="absent","",IF(COUNT('Rater 1'!F47,'Rater 2'!F47)=2,AVERAGE('Rater 1'!F47,'Rater 2'!F47),""))</x:f>
      </x:c>
      <x:c r="G47" s="89" t="str">
        <x:f>IF(COUNT('Rater 1'!G47,'Rater 2'!G47)=2,AVERAGE('Rater 1'!G47,'Rater 2'!G47),"")</x:f>
      </x:c>
      <x:c r="H47" s="89" t="str">
        <x:f>IF(D47="present",IF(COUNT(E47:G47)=3,E47*0.5+F47*0.3+G47*0.2,""),IF(COUNT(E47,G47)=2,(E47*0.5+G47*0.2)/0.7,""))</x:f>
      </x:c>
      <x:c r="I47" s="89" t="str">
        <x:f>IF(COUNT('Model Scores'!B47)=1,'Model Scores'!B47,"")</x:f>
      </x:c>
      <x:c r="J47" s="89" t="str">
        <x:f>IF(D47="absent","",IF(COUNT('Model Scores'!D47)=1,'Model Scores'!D47,""))</x:f>
      </x:c>
      <x:c r="K47" s="89" t="str">
        <x:f>IF(COUNT('Model Scores'!F47)=1,'Model Scores'!F47,"")</x:f>
      </x:c>
      <x:c r="L47" s="89" t="str">
        <x:f>IF(COUNT('Model Scores'!G47)=1,'Model Scores'!G47,"")</x:f>
      </x:c>
      <x:c r="M47" s="89" t="str">
        <x:f>IF(COUNT(H47,L47)=2,ABS(H47-L47),"")</x:f>
      </x:c>
      <x:c r="N47" s="69" t="str">
        <x:f>IF(AND('Rater 1'!J47="Yes",'Rater 2'!J47="Yes",'Model Scores'!M47="Yes"),"Ready","Pending")</x:f>
        <x:v>Pending</x:v>
      </x:c>
    </x:row>
    <x:row r="48">
      <x:c r="A48" s="25" t="str">
        <x:f>'Sample Manifest'!A48</x:f>
        <x:v>AR-P09-KR</x:v>
      </x:c>
      <x:c r="B48" s="63" t="str">
        <x:f>'Sample Manifest'!B48</x:f>
        <x:v>P09</x:v>
      </x:c>
      <x:c r="C48" s="63" t="str">
        <x:f>'Sample Manifest'!E48</x:f>
        <x:v>KR</x:v>
      </x:c>
      <x:c r="D48" s="63" t="str">
        <x:f>'Sample Manifest'!H48</x:f>
        <x:v>absent</x:v>
      </x:c>
      <x:c r="E48" s="89" t="str">
        <x:f>IF(COUNT('Rater 1'!C48,'Rater 2'!C48)=2,AVERAGE('Rater 1'!C48,'Rater 2'!C48),"")</x:f>
      </x:c>
      <x:c r="F48" s="89" t="str">
        <x:f>IF(D48="absent","",IF(COUNT('Rater 1'!F48,'Rater 2'!F48)=2,AVERAGE('Rater 1'!F48,'Rater 2'!F48),""))</x:f>
      </x:c>
      <x:c r="G48" s="89" t="str">
        <x:f>IF(COUNT('Rater 1'!G48,'Rater 2'!G48)=2,AVERAGE('Rater 1'!G48,'Rater 2'!G48),"")</x:f>
      </x:c>
      <x:c r="H48" s="89" t="str">
        <x:f>IF(D48="present",IF(COUNT(E48:G48)=3,E48*0.5+F48*0.3+G48*0.2,""),IF(COUNT(E48,G48)=2,(E48*0.5+G48*0.2)/0.7,""))</x:f>
      </x:c>
      <x:c r="I48" s="89" t="str">
        <x:f>IF(COUNT('Model Scores'!B48)=1,'Model Scores'!B48,"")</x:f>
      </x:c>
      <x:c r="J48" s="89" t="str">
        <x:f>IF(D48="absent","",IF(COUNT('Model Scores'!D48)=1,'Model Scores'!D48,""))</x:f>
      </x:c>
      <x:c r="K48" s="89" t="str">
        <x:f>IF(COUNT('Model Scores'!F48)=1,'Model Scores'!F48,"")</x:f>
      </x:c>
      <x:c r="L48" s="89" t="str">
        <x:f>IF(COUNT('Model Scores'!G48)=1,'Model Scores'!G48,"")</x:f>
      </x:c>
      <x:c r="M48" s="89" t="str">
        <x:f>IF(COUNT(H48,L48)=2,ABS(H48-L48),"")</x:f>
      </x:c>
      <x:c r="N48" s="69" t="str">
        <x:f>IF(AND('Rater 1'!J48="Yes",'Rater 2'!J48="Yes",'Model Scores'!M48="Yes"),"Ready","Pending")</x:f>
        <x:v>Pending</x:v>
      </x:c>
    </x:row>
    <x:row r="49">
      <x:c r="A49" s="25" t="str">
        <x:f>'Sample Manifest'!A49</x:f>
        <x:v>AR-P09-AE</x:v>
      </x:c>
      <x:c r="B49" s="63" t="str">
        <x:f>'Sample Manifest'!B49</x:f>
        <x:v>P09</x:v>
      </x:c>
      <x:c r="C49" s="63" t="str">
        <x:f>'Sample Manifest'!E49</x:f>
        <x:v>AE</x:v>
      </x:c>
      <x:c r="D49" s="63" t="str">
        <x:f>'Sample Manifest'!H49</x:f>
        <x:v>absent</x:v>
      </x:c>
      <x:c r="E49" s="89" t="str">
        <x:f>IF(COUNT('Rater 1'!C49,'Rater 2'!C49)=2,AVERAGE('Rater 1'!C49,'Rater 2'!C49),"")</x:f>
      </x:c>
      <x:c r="F49" s="89" t="str">
        <x:f>IF(D49="absent","",IF(COUNT('Rater 1'!F49,'Rater 2'!F49)=2,AVERAGE('Rater 1'!F49,'Rater 2'!F49),""))</x:f>
      </x:c>
      <x:c r="G49" s="89" t="str">
        <x:f>IF(COUNT('Rater 1'!G49,'Rater 2'!G49)=2,AVERAGE('Rater 1'!G49,'Rater 2'!G49),"")</x:f>
      </x:c>
      <x:c r="H49" s="89" t="str">
        <x:f>IF(D49="present",IF(COUNT(E49:G49)=3,E49*0.5+F49*0.3+G49*0.2,""),IF(COUNT(E49,G49)=2,(E49*0.5+G49*0.2)/0.7,""))</x:f>
      </x:c>
      <x:c r="I49" s="89" t="str">
        <x:f>IF(COUNT('Model Scores'!B49)=1,'Model Scores'!B49,"")</x:f>
      </x:c>
      <x:c r="J49" s="89" t="str">
        <x:f>IF(D49="absent","",IF(COUNT('Model Scores'!D49)=1,'Model Scores'!D49,""))</x:f>
      </x:c>
      <x:c r="K49" s="89" t="str">
        <x:f>IF(COUNT('Model Scores'!F49)=1,'Model Scores'!F49,"")</x:f>
      </x:c>
      <x:c r="L49" s="89" t="str">
        <x:f>IF(COUNT('Model Scores'!G49)=1,'Model Scores'!G49,"")</x:f>
      </x:c>
      <x:c r="M49" s="89" t="str">
        <x:f>IF(COUNT(H49,L49)=2,ABS(H49-L49),"")</x:f>
      </x:c>
      <x:c r="N49" s="69" t="str">
        <x:f>IF(AND('Rater 1'!J49="Yes",'Rater 2'!J49="Yes",'Model Scores'!M49="Yes"),"Ready","Pending")</x:f>
        <x:v>Pending</x:v>
      </x:c>
    </x:row>
    <x:row r="50">
      <x:c r="A50" s="25" t="str">
        <x:f>'Sample Manifest'!A50</x:f>
        <x:v>AR-P10-US</x:v>
      </x:c>
      <x:c r="B50" s="63" t="str">
        <x:f>'Sample Manifest'!B50</x:f>
        <x:v>P10</x:v>
      </x:c>
      <x:c r="C50" s="63" t="str">
        <x:f>'Sample Manifest'!E50</x:f>
        <x:v>US</x:v>
      </x:c>
      <x:c r="D50" s="63" t="str">
        <x:f>'Sample Manifest'!H50</x:f>
        <x:v>absent</x:v>
      </x:c>
      <x:c r="E50" s="89" t="str">
        <x:f>IF(COUNT('Rater 1'!C50,'Rater 2'!C50)=2,AVERAGE('Rater 1'!C50,'Rater 2'!C50),"")</x:f>
      </x:c>
      <x:c r="F50" s="89" t="str">
        <x:f>IF(D50="absent","",IF(COUNT('Rater 1'!F50,'Rater 2'!F50)=2,AVERAGE('Rater 1'!F50,'Rater 2'!F50),""))</x:f>
      </x:c>
      <x:c r="G50" s="89" t="str">
        <x:f>IF(COUNT('Rater 1'!G50,'Rater 2'!G50)=2,AVERAGE('Rater 1'!G50,'Rater 2'!G50),"")</x:f>
      </x:c>
      <x:c r="H50" s="89" t="str">
        <x:f>IF(D50="present",IF(COUNT(E50:G50)=3,E50*0.5+F50*0.3+G50*0.2,""),IF(COUNT(E50,G50)=2,(E50*0.5+G50*0.2)/0.7,""))</x:f>
      </x:c>
      <x:c r="I50" s="89" t="str">
        <x:f>IF(COUNT('Model Scores'!B50)=1,'Model Scores'!B50,"")</x:f>
      </x:c>
      <x:c r="J50" s="89" t="str">
        <x:f>IF(D50="absent","",IF(COUNT('Model Scores'!D50)=1,'Model Scores'!D50,""))</x:f>
      </x:c>
      <x:c r="K50" s="89" t="str">
        <x:f>IF(COUNT('Model Scores'!F50)=1,'Model Scores'!F50,"")</x:f>
      </x:c>
      <x:c r="L50" s="89" t="str">
        <x:f>IF(COUNT('Model Scores'!G50)=1,'Model Scores'!G50,"")</x:f>
      </x:c>
      <x:c r="M50" s="89" t="str">
        <x:f>IF(COUNT(H50,L50)=2,ABS(H50-L50),"")</x:f>
      </x:c>
      <x:c r="N50" s="69" t="str">
        <x:f>IF(AND('Rater 1'!J50="Yes",'Rater 2'!J50="Yes",'Model Scores'!M50="Yes"),"Ready","Pending")</x:f>
        <x:v>Pending</x:v>
      </x:c>
    </x:row>
    <x:row r="51">
      <x:c r="A51" s="25" t="str">
        <x:f>'Sample Manifest'!A51</x:f>
        <x:v>AR-P10-DE</x:v>
      </x:c>
      <x:c r="B51" s="63" t="str">
        <x:f>'Sample Manifest'!B51</x:f>
        <x:v>P10</x:v>
      </x:c>
      <x:c r="C51" s="63" t="str">
        <x:f>'Sample Manifest'!E51</x:f>
        <x:v>DE</x:v>
      </x:c>
      <x:c r="D51" s="63" t="str">
        <x:f>'Sample Manifest'!H51</x:f>
        <x:v>absent</x:v>
      </x:c>
      <x:c r="E51" s="89" t="str">
        <x:f>IF(COUNT('Rater 1'!C51,'Rater 2'!C51)=2,AVERAGE('Rater 1'!C51,'Rater 2'!C51),"")</x:f>
      </x:c>
      <x:c r="F51" s="89" t="str">
        <x:f>IF(D51="absent","",IF(COUNT('Rater 1'!F51,'Rater 2'!F51)=2,AVERAGE('Rater 1'!F51,'Rater 2'!F51),""))</x:f>
      </x:c>
      <x:c r="G51" s="89" t="str">
        <x:f>IF(COUNT('Rater 1'!G51,'Rater 2'!G51)=2,AVERAGE('Rater 1'!G51,'Rater 2'!G51),"")</x:f>
      </x:c>
      <x:c r="H51" s="89" t="str">
        <x:f>IF(D51="present",IF(COUNT(E51:G51)=3,E51*0.5+F51*0.3+G51*0.2,""),IF(COUNT(E51,G51)=2,(E51*0.5+G51*0.2)/0.7,""))</x:f>
      </x:c>
      <x:c r="I51" s="89" t="str">
        <x:f>IF(COUNT('Model Scores'!B51)=1,'Model Scores'!B51,"")</x:f>
      </x:c>
      <x:c r="J51" s="89" t="str">
        <x:f>IF(D51="absent","",IF(COUNT('Model Scores'!D51)=1,'Model Scores'!D51,""))</x:f>
      </x:c>
      <x:c r="K51" s="89" t="str">
        <x:f>IF(COUNT('Model Scores'!F51)=1,'Model Scores'!F51,"")</x:f>
      </x:c>
      <x:c r="L51" s="89" t="str">
        <x:f>IF(COUNT('Model Scores'!G51)=1,'Model Scores'!G51,"")</x:f>
      </x:c>
      <x:c r="M51" s="89" t="str">
        <x:f>IF(COUNT(H51,L51)=2,ABS(H51-L51),"")</x:f>
      </x:c>
      <x:c r="N51" s="69" t="str">
        <x:f>IF(AND('Rater 1'!J51="Yes",'Rater 2'!J51="Yes",'Model Scores'!M51="Yes"),"Ready","Pending")</x:f>
        <x:v>Pending</x:v>
      </x:c>
    </x:row>
    <x:row r="52">
      <x:c r="A52" s="25" t="str">
        <x:f>'Sample Manifest'!A52</x:f>
        <x:v>AR-P10-JP</x:v>
      </x:c>
      <x:c r="B52" s="63" t="str">
        <x:f>'Sample Manifest'!B52</x:f>
        <x:v>P10</x:v>
      </x:c>
      <x:c r="C52" s="63" t="str">
        <x:f>'Sample Manifest'!E52</x:f>
        <x:v>JP</x:v>
      </x:c>
      <x:c r="D52" s="63" t="str">
        <x:f>'Sample Manifest'!H52</x:f>
        <x:v>absent</x:v>
      </x:c>
      <x:c r="E52" s="89" t="str">
        <x:f>IF(COUNT('Rater 1'!C52,'Rater 2'!C52)=2,AVERAGE('Rater 1'!C52,'Rater 2'!C52),"")</x:f>
      </x:c>
      <x:c r="F52" s="89" t="str">
        <x:f>IF(D52="absent","",IF(COUNT('Rater 1'!F52,'Rater 2'!F52)=2,AVERAGE('Rater 1'!F52,'Rater 2'!F52),""))</x:f>
      </x:c>
      <x:c r="G52" s="89" t="str">
        <x:f>IF(COUNT('Rater 1'!G52,'Rater 2'!G52)=2,AVERAGE('Rater 1'!G52,'Rater 2'!G52),"")</x:f>
      </x:c>
      <x:c r="H52" s="89" t="str">
        <x:f>IF(D52="present",IF(COUNT(E52:G52)=3,E52*0.5+F52*0.3+G52*0.2,""),IF(COUNT(E52,G52)=2,(E52*0.5+G52*0.2)/0.7,""))</x:f>
      </x:c>
      <x:c r="I52" s="89" t="str">
        <x:f>IF(COUNT('Model Scores'!B52)=1,'Model Scores'!B52,"")</x:f>
      </x:c>
      <x:c r="J52" s="89" t="str">
        <x:f>IF(D52="absent","",IF(COUNT('Model Scores'!D52)=1,'Model Scores'!D52,""))</x:f>
      </x:c>
      <x:c r="K52" s="89" t="str">
        <x:f>IF(COUNT('Model Scores'!F52)=1,'Model Scores'!F52,"")</x:f>
      </x:c>
      <x:c r="L52" s="89" t="str">
        <x:f>IF(COUNT('Model Scores'!G52)=1,'Model Scores'!G52,"")</x:f>
      </x:c>
      <x:c r="M52" s="89" t="str">
        <x:f>IF(COUNT(H52,L52)=2,ABS(H52-L52),"")</x:f>
      </x:c>
      <x:c r="N52" s="69" t="str">
        <x:f>IF(AND('Rater 1'!J52="Yes",'Rater 2'!J52="Yes",'Model Scores'!M52="Yes"),"Ready","Pending")</x:f>
        <x:v>Pending</x:v>
      </x:c>
    </x:row>
    <x:row r="53">
      <x:c r="A53" s="25" t="str">
        <x:f>'Sample Manifest'!A53</x:f>
        <x:v>AR-P10-KR</x:v>
      </x:c>
      <x:c r="B53" s="63" t="str">
        <x:f>'Sample Manifest'!B53</x:f>
        <x:v>P10</x:v>
      </x:c>
      <x:c r="C53" s="63" t="str">
        <x:f>'Sample Manifest'!E53</x:f>
        <x:v>KR</x:v>
      </x:c>
      <x:c r="D53" s="63" t="str">
        <x:f>'Sample Manifest'!H53</x:f>
        <x:v>absent</x:v>
      </x:c>
      <x:c r="E53" s="89" t="str">
        <x:f>IF(COUNT('Rater 1'!C53,'Rater 2'!C53)=2,AVERAGE('Rater 1'!C53,'Rater 2'!C53),"")</x:f>
      </x:c>
      <x:c r="F53" s="89" t="str">
        <x:f>IF(D53="absent","",IF(COUNT('Rater 1'!F53,'Rater 2'!F53)=2,AVERAGE('Rater 1'!F53,'Rater 2'!F53),""))</x:f>
      </x:c>
      <x:c r="G53" s="89" t="str">
        <x:f>IF(COUNT('Rater 1'!G53,'Rater 2'!G53)=2,AVERAGE('Rater 1'!G53,'Rater 2'!G53),"")</x:f>
      </x:c>
      <x:c r="H53" s="89" t="str">
        <x:f>IF(D53="present",IF(COUNT(E53:G53)=3,E53*0.5+F53*0.3+G53*0.2,""),IF(COUNT(E53,G53)=2,(E53*0.5+G53*0.2)/0.7,""))</x:f>
      </x:c>
      <x:c r="I53" s="89" t="str">
        <x:f>IF(COUNT('Model Scores'!B53)=1,'Model Scores'!B53,"")</x:f>
      </x:c>
      <x:c r="J53" s="89" t="str">
        <x:f>IF(D53="absent","",IF(COUNT('Model Scores'!D53)=1,'Model Scores'!D53,""))</x:f>
      </x:c>
      <x:c r="K53" s="89" t="str">
        <x:f>IF(COUNT('Model Scores'!F53)=1,'Model Scores'!F53,"")</x:f>
      </x:c>
      <x:c r="L53" s="89" t="str">
        <x:f>IF(COUNT('Model Scores'!G53)=1,'Model Scores'!G53,"")</x:f>
      </x:c>
      <x:c r="M53" s="89" t="str">
        <x:f>IF(COUNT(H53,L53)=2,ABS(H53-L53),"")</x:f>
      </x:c>
      <x:c r="N53" s="69" t="str">
        <x:f>IF(AND('Rater 1'!J53="Yes",'Rater 2'!J53="Yes",'Model Scores'!M53="Yes"),"Ready","Pending")</x:f>
        <x:v>Pending</x:v>
      </x:c>
    </x:row>
    <x:row r="54">
      <x:c r="A54" s="25" t="str">
        <x:f>'Sample Manifest'!A54</x:f>
        <x:v>AR-P10-AE</x:v>
      </x:c>
      <x:c r="B54" s="63" t="str">
        <x:f>'Sample Manifest'!B54</x:f>
        <x:v>P10</x:v>
      </x:c>
      <x:c r="C54" s="63" t="str">
        <x:f>'Sample Manifest'!E54</x:f>
        <x:v>AE</x:v>
      </x:c>
      <x:c r="D54" s="63" t="str">
        <x:f>'Sample Manifest'!H54</x:f>
        <x:v>absent</x:v>
      </x:c>
      <x:c r="E54" s="89" t="str">
        <x:f>IF(COUNT('Rater 1'!C54,'Rater 2'!C54)=2,AVERAGE('Rater 1'!C54,'Rater 2'!C54),"")</x:f>
      </x:c>
      <x:c r="F54" s="89" t="str">
        <x:f>IF(D54="absent","",IF(COUNT('Rater 1'!F54,'Rater 2'!F54)=2,AVERAGE('Rater 1'!F54,'Rater 2'!F54),""))</x:f>
      </x:c>
      <x:c r="G54" s="89" t="str">
        <x:f>IF(COUNT('Rater 1'!G54,'Rater 2'!G54)=2,AVERAGE('Rater 1'!G54,'Rater 2'!G54),"")</x:f>
      </x:c>
      <x:c r="H54" s="89" t="str">
        <x:f>IF(D54="present",IF(COUNT(E54:G54)=3,E54*0.5+F54*0.3+G54*0.2,""),IF(COUNT(E54,G54)=2,(E54*0.5+G54*0.2)/0.7,""))</x:f>
      </x:c>
      <x:c r="I54" s="89" t="str">
        <x:f>IF(COUNT('Model Scores'!B54)=1,'Model Scores'!B54,"")</x:f>
      </x:c>
      <x:c r="J54" s="89" t="str">
        <x:f>IF(D54="absent","",IF(COUNT('Model Scores'!D54)=1,'Model Scores'!D54,""))</x:f>
      </x:c>
      <x:c r="K54" s="89" t="str">
        <x:f>IF(COUNT('Model Scores'!F54)=1,'Model Scores'!F54,"")</x:f>
      </x:c>
      <x:c r="L54" s="89" t="str">
        <x:f>IF(COUNT('Model Scores'!G54)=1,'Model Scores'!G54,"")</x:f>
      </x:c>
      <x:c r="M54" s="89" t="str">
        <x:f>IF(COUNT(H54,L54)=2,ABS(H54-L54),"")</x:f>
      </x:c>
      <x:c r="N54" s="69" t="str">
        <x:f>IF(AND('Rater 1'!J54="Yes",'Rater 2'!J54="Yes",'Model Scores'!M54="Yes"),"Ready","Pending")</x:f>
        <x:v>Pending</x:v>
      </x:c>
    </x:row>
    <x:row r="55">
      <x:c r="A55" s="25" t="str">
        <x:f>'Sample Manifest'!A55</x:f>
        <x:v>AR-P11-US</x:v>
      </x:c>
      <x:c r="B55" s="63" t="str">
        <x:f>'Sample Manifest'!B55</x:f>
        <x:v>P11</x:v>
      </x:c>
      <x:c r="C55" s="63" t="str">
        <x:f>'Sample Manifest'!E55</x:f>
        <x:v>US</x:v>
      </x:c>
      <x:c r="D55" s="63" t="str">
        <x:f>'Sample Manifest'!H55</x:f>
        <x:v>absent</x:v>
      </x:c>
      <x:c r="E55" s="89" t="str">
        <x:f>IF(COUNT('Rater 1'!C55,'Rater 2'!C55)=2,AVERAGE('Rater 1'!C55,'Rater 2'!C55),"")</x:f>
      </x:c>
      <x:c r="F55" s="89" t="str">
        <x:f>IF(D55="absent","",IF(COUNT('Rater 1'!F55,'Rater 2'!F55)=2,AVERAGE('Rater 1'!F55,'Rater 2'!F55),""))</x:f>
      </x:c>
      <x:c r="G55" s="89" t="str">
        <x:f>IF(COUNT('Rater 1'!G55,'Rater 2'!G55)=2,AVERAGE('Rater 1'!G55,'Rater 2'!G55),"")</x:f>
      </x:c>
      <x:c r="H55" s="89" t="str">
        <x:f>IF(D55="present",IF(COUNT(E55:G55)=3,E55*0.5+F55*0.3+G55*0.2,""),IF(COUNT(E55,G55)=2,(E55*0.5+G55*0.2)/0.7,""))</x:f>
      </x:c>
      <x:c r="I55" s="89" t="str">
        <x:f>IF(COUNT('Model Scores'!B55)=1,'Model Scores'!B55,"")</x:f>
      </x:c>
      <x:c r="J55" s="89" t="str">
        <x:f>IF(D55="absent","",IF(COUNT('Model Scores'!D55)=1,'Model Scores'!D55,""))</x:f>
      </x:c>
      <x:c r="K55" s="89" t="str">
        <x:f>IF(COUNT('Model Scores'!F55)=1,'Model Scores'!F55,"")</x:f>
      </x:c>
      <x:c r="L55" s="89" t="str">
        <x:f>IF(COUNT('Model Scores'!G55)=1,'Model Scores'!G55,"")</x:f>
      </x:c>
      <x:c r="M55" s="89" t="str">
        <x:f>IF(COUNT(H55,L55)=2,ABS(H55-L55),"")</x:f>
      </x:c>
      <x:c r="N55" s="69" t="str">
        <x:f>IF(AND('Rater 1'!J55="Yes",'Rater 2'!J55="Yes",'Model Scores'!M55="Yes"),"Ready","Pending")</x:f>
        <x:v>Pending</x:v>
      </x:c>
    </x:row>
    <x:row r="56">
      <x:c r="A56" s="25" t="str">
        <x:f>'Sample Manifest'!A56</x:f>
        <x:v>AR-P11-DE</x:v>
      </x:c>
      <x:c r="B56" s="63" t="str">
        <x:f>'Sample Manifest'!B56</x:f>
        <x:v>P11</x:v>
      </x:c>
      <x:c r="C56" s="63" t="str">
        <x:f>'Sample Manifest'!E56</x:f>
        <x:v>DE</x:v>
      </x:c>
      <x:c r="D56" s="63" t="str">
        <x:f>'Sample Manifest'!H56</x:f>
        <x:v>absent</x:v>
      </x:c>
      <x:c r="E56" s="89" t="str">
        <x:f>IF(COUNT('Rater 1'!C56,'Rater 2'!C56)=2,AVERAGE('Rater 1'!C56,'Rater 2'!C56),"")</x:f>
      </x:c>
      <x:c r="F56" s="89" t="str">
        <x:f>IF(D56="absent","",IF(COUNT('Rater 1'!F56,'Rater 2'!F56)=2,AVERAGE('Rater 1'!F56,'Rater 2'!F56),""))</x:f>
      </x:c>
      <x:c r="G56" s="89" t="str">
        <x:f>IF(COUNT('Rater 1'!G56,'Rater 2'!G56)=2,AVERAGE('Rater 1'!G56,'Rater 2'!G56),"")</x:f>
      </x:c>
      <x:c r="H56" s="89" t="str">
        <x:f>IF(D56="present",IF(COUNT(E56:G56)=3,E56*0.5+F56*0.3+G56*0.2,""),IF(COUNT(E56,G56)=2,(E56*0.5+G56*0.2)/0.7,""))</x:f>
      </x:c>
      <x:c r="I56" s="89" t="str">
        <x:f>IF(COUNT('Model Scores'!B56)=1,'Model Scores'!B56,"")</x:f>
      </x:c>
      <x:c r="J56" s="89" t="str">
        <x:f>IF(D56="absent","",IF(COUNT('Model Scores'!D56)=1,'Model Scores'!D56,""))</x:f>
      </x:c>
      <x:c r="K56" s="89" t="str">
        <x:f>IF(COUNT('Model Scores'!F56)=1,'Model Scores'!F56,"")</x:f>
      </x:c>
      <x:c r="L56" s="89" t="str">
        <x:f>IF(COUNT('Model Scores'!G56)=1,'Model Scores'!G56,"")</x:f>
      </x:c>
      <x:c r="M56" s="89" t="str">
        <x:f>IF(COUNT(H56,L56)=2,ABS(H56-L56),"")</x:f>
      </x:c>
      <x:c r="N56" s="69" t="str">
        <x:f>IF(AND('Rater 1'!J56="Yes",'Rater 2'!J56="Yes",'Model Scores'!M56="Yes"),"Ready","Pending")</x:f>
        <x:v>Pending</x:v>
      </x:c>
    </x:row>
    <x:row r="57">
      <x:c r="A57" s="25" t="str">
        <x:f>'Sample Manifest'!A57</x:f>
        <x:v>AR-P11-JP</x:v>
      </x:c>
      <x:c r="B57" s="63" t="str">
        <x:f>'Sample Manifest'!B57</x:f>
        <x:v>P11</x:v>
      </x:c>
      <x:c r="C57" s="63" t="str">
        <x:f>'Sample Manifest'!E57</x:f>
        <x:v>JP</x:v>
      </x:c>
      <x:c r="D57" s="63" t="str">
        <x:f>'Sample Manifest'!H57</x:f>
        <x:v>absent</x:v>
      </x:c>
      <x:c r="E57" s="89" t="str">
        <x:f>IF(COUNT('Rater 1'!C57,'Rater 2'!C57)=2,AVERAGE('Rater 1'!C57,'Rater 2'!C57),"")</x:f>
      </x:c>
      <x:c r="F57" s="89" t="str">
        <x:f>IF(D57="absent","",IF(COUNT('Rater 1'!F57,'Rater 2'!F57)=2,AVERAGE('Rater 1'!F57,'Rater 2'!F57),""))</x:f>
      </x:c>
      <x:c r="G57" s="89" t="str">
        <x:f>IF(COUNT('Rater 1'!G57,'Rater 2'!G57)=2,AVERAGE('Rater 1'!G57,'Rater 2'!G57),"")</x:f>
      </x:c>
      <x:c r="H57" s="89" t="str">
        <x:f>IF(D57="present",IF(COUNT(E57:G57)=3,E57*0.5+F57*0.3+G57*0.2,""),IF(COUNT(E57,G57)=2,(E57*0.5+G57*0.2)/0.7,""))</x:f>
      </x:c>
      <x:c r="I57" s="89" t="str">
        <x:f>IF(COUNT('Model Scores'!B57)=1,'Model Scores'!B57,"")</x:f>
      </x:c>
      <x:c r="J57" s="89" t="str">
        <x:f>IF(D57="absent","",IF(COUNT('Model Scores'!D57)=1,'Model Scores'!D57,""))</x:f>
      </x:c>
      <x:c r="K57" s="89" t="str">
        <x:f>IF(COUNT('Model Scores'!F57)=1,'Model Scores'!F57,"")</x:f>
      </x:c>
      <x:c r="L57" s="89" t="str">
        <x:f>IF(COUNT('Model Scores'!G57)=1,'Model Scores'!G57,"")</x:f>
      </x:c>
      <x:c r="M57" s="89" t="str">
        <x:f>IF(COUNT(H57,L57)=2,ABS(H57-L57),"")</x:f>
      </x:c>
      <x:c r="N57" s="69" t="str">
        <x:f>IF(AND('Rater 1'!J57="Yes",'Rater 2'!J57="Yes",'Model Scores'!M57="Yes"),"Ready","Pending")</x:f>
        <x:v>Pending</x:v>
      </x:c>
    </x:row>
    <x:row r="58">
      <x:c r="A58" s="25" t="str">
        <x:f>'Sample Manifest'!A58</x:f>
        <x:v>AR-P11-KR</x:v>
      </x:c>
      <x:c r="B58" s="63" t="str">
        <x:f>'Sample Manifest'!B58</x:f>
        <x:v>P11</x:v>
      </x:c>
      <x:c r="C58" s="63" t="str">
        <x:f>'Sample Manifest'!E58</x:f>
        <x:v>KR</x:v>
      </x:c>
      <x:c r="D58" s="63" t="str">
        <x:f>'Sample Manifest'!H58</x:f>
        <x:v>absent</x:v>
      </x:c>
      <x:c r="E58" s="89" t="str">
        <x:f>IF(COUNT('Rater 1'!C58,'Rater 2'!C58)=2,AVERAGE('Rater 1'!C58,'Rater 2'!C58),"")</x:f>
      </x:c>
      <x:c r="F58" s="89" t="str">
        <x:f>IF(D58="absent","",IF(COUNT('Rater 1'!F58,'Rater 2'!F58)=2,AVERAGE('Rater 1'!F58,'Rater 2'!F58),""))</x:f>
      </x:c>
      <x:c r="G58" s="89" t="str">
        <x:f>IF(COUNT('Rater 1'!G58,'Rater 2'!G58)=2,AVERAGE('Rater 1'!G58,'Rater 2'!G58),"")</x:f>
      </x:c>
      <x:c r="H58" s="89" t="str">
        <x:f>IF(D58="present",IF(COUNT(E58:G58)=3,E58*0.5+F58*0.3+G58*0.2,""),IF(COUNT(E58,G58)=2,(E58*0.5+G58*0.2)/0.7,""))</x:f>
      </x:c>
      <x:c r="I58" s="89" t="str">
        <x:f>IF(COUNT('Model Scores'!B58)=1,'Model Scores'!B58,"")</x:f>
      </x:c>
      <x:c r="J58" s="89" t="str">
        <x:f>IF(D58="absent","",IF(COUNT('Model Scores'!D58)=1,'Model Scores'!D58,""))</x:f>
      </x:c>
      <x:c r="K58" s="89" t="str">
        <x:f>IF(COUNT('Model Scores'!F58)=1,'Model Scores'!F58,"")</x:f>
      </x:c>
      <x:c r="L58" s="89" t="str">
        <x:f>IF(COUNT('Model Scores'!G58)=1,'Model Scores'!G58,"")</x:f>
      </x:c>
      <x:c r="M58" s="89" t="str">
        <x:f>IF(COUNT(H58,L58)=2,ABS(H58-L58),"")</x:f>
      </x:c>
      <x:c r="N58" s="69" t="str">
        <x:f>IF(AND('Rater 1'!J58="Yes",'Rater 2'!J58="Yes",'Model Scores'!M58="Yes"),"Ready","Pending")</x:f>
        <x:v>Pending</x:v>
      </x:c>
    </x:row>
    <x:row r="59">
      <x:c r="A59" s="25" t="str">
        <x:f>'Sample Manifest'!A59</x:f>
        <x:v>AR-P11-AE</x:v>
      </x:c>
      <x:c r="B59" s="63" t="str">
        <x:f>'Sample Manifest'!B59</x:f>
        <x:v>P11</x:v>
      </x:c>
      <x:c r="C59" s="63" t="str">
        <x:f>'Sample Manifest'!E59</x:f>
        <x:v>AE</x:v>
      </x:c>
      <x:c r="D59" s="63" t="str">
        <x:f>'Sample Manifest'!H59</x:f>
        <x:v>absent</x:v>
      </x:c>
      <x:c r="E59" s="89" t="str">
        <x:f>IF(COUNT('Rater 1'!C59,'Rater 2'!C59)=2,AVERAGE('Rater 1'!C59,'Rater 2'!C59),"")</x:f>
      </x:c>
      <x:c r="F59" s="89" t="str">
        <x:f>IF(D59="absent","",IF(COUNT('Rater 1'!F59,'Rater 2'!F59)=2,AVERAGE('Rater 1'!F59,'Rater 2'!F59),""))</x:f>
      </x:c>
      <x:c r="G59" s="89" t="str">
        <x:f>IF(COUNT('Rater 1'!G59,'Rater 2'!G59)=2,AVERAGE('Rater 1'!G59,'Rater 2'!G59),"")</x:f>
      </x:c>
      <x:c r="H59" s="89" t="str">
        <x:f>IF(D59="present",IF(COUNT(E59:G59)=3,E59*0.5+F59*0.3+G59*0.2,""),IF(COUNT(E59,G59)=2,(E59*0.5+G59*0.2)/0.7,""))</x:f>
      </x:c>
      <x:c r="I59" s="89" t="str">
        <x:f>IF(COUNT('Model Scores'!B59)=1,'Model Scores'!B59,"")</x:f>
      </x:c>
      <x:c r="J59" s="89" t="str">
        <x:f>IF(D59="absent","",IF(COUNT('Model Scores'!D59)=1,'Model Scores'!D59,""))</x:f>
      </x:c>
      <x:c r="K59" s="89" t="str">
        <x:f>IF(COUNT('Model Scores'!F59)=1,'Model Scores'!F59,"")</x:f>
      </x:c>
      <x:c r="L59" s="89" t="str">
        <x:f>IF(COUNT('Model Scores'!G59)=1,'Model Scores'!G59,"")</x:f>
      </x:c>
      <x:c r="M59" s="89" t="str">
        <x:f>IF(COUNT(H59,L59)=2,ABS(H59-L59),"")</x:f>
      </x:c>
      <x:c r="N59" s="69" t="str">
        <x:f>IF(AND('Rater 1'!J59="Yes",'Rater 2'!J59="Yes",'Model Scores'!M59="Yes"),"Ready","Pending")</x:f>
        <x:v>Pending</x:v>
      </x:c>
    </x:row>
    <x:row r="60">
      <x:c r="A60" s="25" t="str">
        <x:f>'Sample Manifest'!A60</x:f>
        <x:v>AR-P12-US</x:v>
      </x:c>
      <x:c r="B60" s="63" t="str">
        <x:f>'Sample Manifest'!B60</x:f>
        <x:v>P12</x:v>
      </x:c>
      <x:c r="C60" s="63" t="str">
        <x:f>'Sample Manifest'!E60</x:f>
        <x:v>US</x:v>
      </x:c>
      <x:c r="D60" s="63" t="str">
        <x:f>'Sample Manifest'!H60</x:f>
        <x:v>absent</x:v>
      </x:c>
      <x:c r="E60" s="89" t="str">
        <x:f>IF(COUNT('Rater 1'!C60,'Rater 2'!C60)=2,AVERAGE('Rater 1'!C60,'Rater 2'!C60),"")</x:f>
      </x:c>
      <x:c r="F60" s="89" t="str">
        <x:f>IF(D60="absent","",IF(COUNT('Rater 1'!F60,'Rater 2'!F60)=2,AVERAGE('Rater 1'!F60,'Rater 2'!F60),""))</x:f>
      </x:c>
      <x:c r="G60" s="89" t="str">
        <x:f>IF(COUNT('Rater 1'!G60,'Rater 2'!G60)=2,AVERAGE('Rater 1'!G60,'Rater 2'!G60),"")</x:f>
      </x:c>
      <x:c r="H60" s="89" t="str">
        <x:f>IF(D60="present",IF(COUNT(E60:G60)=3,E60*0.5+F60*0.3+G60*0.2,""),IF(COUNT(E60,G60)=2,(E60*0.5+G60*0.2)/0.7,""))</x:f>
      </x:c>
      <x:c r="I60" s="89" t="str">
        <x:f>IF(COUNT('Model Scores'!B60)=1,'Model Scores'!B60,"")</x:f>
      </x:c>
      <x:c r="J60" s="89" t="str">
        <x:f>IF(D60="absent","",IF(COUNT('Model Scores'!D60)=1,'Model Scores'!D60,""))</x:f>
      </x:c>
      <x:c r="K60" s="89" t="str">
        <x:f>IF(COUNT('Model Scores'!F60)=1,'Model Scores'!F60,"")</x:f>
      </x:c>
      <x:c r="L60" s="89" t="str">
        <x:f>IF(COUNT('Model Scores'!G60)=1,'Model Scores'!G60,"")</x:f>
      </x:c>
      <x:c r="M60" s="89" t="str">
        <x:f>IF(COUNT(H60,L60)=2,ABS(H60-L60),"")</x:f>
      </x:c>
      <x:c r="N60" s="69" t="str">
        <x:f>IF(AND('Rater 1'!J60="Yes",'Rater 2'!J60="Yes",'Model Scores'!M60="Yes"),"Ready","Pending")</x:f>
        <x:v>Pending</x:v>
      </x:c>
    </x:row>
    <x:row r="61">
      <x:c r="A61" s="25" t="str">
        <x:f>'Sample Manifest'!A61</x:f>
        <x:v>AR-P12-DE</x:v>
      </x:c>
      <x:c r="B61" s="63" t="str">
        <x:f>'Sample Manifest'!B61</x:f>
        <x:v>P12</x:v>
      </x:c>
      <x:c r="C61" s="63" t="str">
        <x:f>'Sample Manifest'!E61</x:f>
        <x:v>DE</x:v>
      </x:c>
      <x:c r="D61" s="63" t="str">
        <x:f>'Sample Manifest'!H61</x:f>
        <x:v>absent</x:v>
      </x:c>
      <x:c r="E61" s="89" t="str">
        <x:f>IF(COUNT('Rater 1'!C61,'Rater 2'!C61)=2,AVERAGE('Rater 1'!C61,'Rater 2'!C61),"")</x:f>
      </x:c>
      <x:c r="F61" s="89" t="str">
        <x:f>IF(D61="absent","",IF(COUNT('Rater 1'!F61,'Rater 2'!F61)=2,AVERAGE('Rater 1'!F61,'Rater 2'!F61),""))</x:f>
      </x:c>
      <x:c r="G61" s="89" t="str">
        <x:f>IF(COUNT('Rater 1'!G61,'Rater 2'!G61)=2,AVERAGE('Rater 1'!G61,'Rater 2'!G61),"")</x:f>
      </x:c>
      <x:c r="H61" s="89" t="str">
        <x:f>IF(D61="present",IF(COUNT(E61:G61)=3,E61*0.5+F61*0.3+G61*0.2,""),IF(COUNT(E61,G61)=2,(E61*0.5+G61*0.2)/0.7,""))</x:f>
      </x:c>
      <x:c r="I61" s="89" t="str">
        <x:f>IF(COUNT('Model Scores'!B61)=1,'Model Scores'!B61,"")</x:f>
      </x:c>
      <x:c r="J61" s="89" t="str">
        <x:f>IF(D61="absent","",IF(COUNT('Model Scores'!D61)=1,'Model Scores'!D61,""))</x:f>
      </x:c>
      <x:c r="K61" s="89" t="str">
        <x:f>IF(COUNT('Model Scores'!F61)=1,'Model Scores'!F61,"")</x:f>
      </x:c>
      <x:c r="L61" s="89" t="str">
        <x:f>IF(COUNT('Model Scores'!G61)=1,'Model Scores'!G61,"")</x:f>
      </x:c>
      <x:c r="M61" s="89" t="str">
        <x:f>IF(COUNT(H61,L61)=2,ABS(H61-L61),"")</x:f>
      </x:c>
      <x:c r="N61" s="69" t="str">
        <x:f>IF(AND('Rater 1'!J61="Yes",'Rater 2'!J61="Yes",'Model Scores'!M61="Yes"),"Ready","Pending")</x:f>
        <x:v>Pending</x:v>
      </x:c>
    </x:row>
    <x:row r="62">
      <x:c r="A62" s="25" t="str">
        <x:f>'Sample Manifest'!A62</x:f>
        <x:v>AR-P12-JP</x:v>
      </x:c>
      <x:c r="B62" s="63" t="str">
        <x:f>'Sample Manifest'!B62</x:f>
        <x:v>P12</x:v>
      </x:c>
      <x:c r="C62" s="63" t="str">
        <x:f>'Sample Manifest'!E62</x:f>
        <x:v>JP</x:v>
      </x:c>
      <x:c r="D62" s="63" t="str">
        <x:f>'Sample Manifest'!H62</x:f>
        <x:v>absent</x:v>
      </x:c>
      <x:c r="E62" s="89" t="str">
        <x:f>IF(COUNT('Rater 1'!C62,'Rater 2'!C62)=2,AVERAGE('Rater 1'!C62,'Rater 2'!C62),"")</x:f>
      </x:c>
      <x:c r="F62" s="89" t="str">
        <x:f>IF(D62="absent","",IF(COUNT('Rater 1'!F62,'Rater 2'!F62)=2,AVERAGE('Rater 1'!F62,'Rater 2'!F62),""))</x:f>
      </x:c>
      <x:c r="G62" s="89" t="str">
        <x:f>IF(COUNT('Rater 1'!G62,'Rater 2'!G62)=2,AVERAGE('Rater 1'!G62,'Rater 2'!G62),"")</x:f>
      </x:c>
      <x:c r="H62" s="89" t="str">
        <x:f>IF(D62="present",IF(COUNT(E62:G62)=3,E62*0.5+F62*0.3+G62*0.2,""),IF(COUNT(E62,G62)=2,(E62*0.5+G62*0.2)/0.7,""))</x:f>
      </x:c>
      <x:c r="I62" s="89" t="str">
        <x:f>IF(COUNT('Model Scores'!B62)=1,'Model Scores'!B62,"")</x:f>
      </x:c>
      <x:c r="J62" s="89" t="str">
        <x:f>IF(D62="absent","",IF(COUNT('Model Scores'!D62)=1,'Model Scores'!D62,""))</x:f>
      </x:c>
      <x:c r="K62" s="89" t="str">
        <x:f>IF(COUNT('Model Scores'!F62)=1,'Model Scores'!F62,"")</x:f>
      </x:c>
      <x:c r="L62" s="89" t="str">
        <x:f>IF(COUNT('Model Scores'!G62)=1,'Model Scores'!G62,"")</x:f>
      </x:c>
      <x:c r="M62" s="89" t="str">
        <x:f>IF(COUNT(H62,L62)=2,ABS(H62-L62),"")</x:f>
      </x:c>
      <x:c r="N62" s="69" t="str">
        <x:f>IF(AND('Rater 1'!J62="Yes",'Rater 2'!J62="Yes",'Model Scores'!M62="Yes"),"Ready","Pending")</x:f>
        <x:v>Pending</x:v>
      </x:c>
    </x:row>
    <x:row r="63">
      <x:c r="A63" s="25" t="str">
        <x:f>'Sample Manifest'!A63</x:f>
        <x:v>AR-P12-KR</x:v>
      </x:c>
      <x:c r="B63" s="63" t="str">
        <x:f>'Sample Manifest'!B63</x:f>
        <x:v>P12</x:v>
      </x:c>
      <x:c r="C63" s="63" t="str">
        <x:f>'Sample Manifest'!E63</x:f>
        <x:v>KR</x:v>
      </x:c>
      <x:c r="D63" s="63" t="str">
        <x:f>'Sample Manifest'!H63</x:f>
        <x:v>absent</x:v>
      </x:c>
      <x:c r="E63" s="89" t="str">
        <x:f>IF(COUNT('Rater 1'!C63,'Rater 2'!C63)=2,AVERAGE('Rater 1'!C63,'Rater 2'!C63),"")</x:f>
      </x:c>
      <x:c r="F63" s="89" t="str">
        <x:f>IF(D63="absent","",IF(COUNT('Rater 1'!F63,'Rater 2'!F63)=2,AVERAGE('Rater 1'!F63,'Rater 2'!F63),""))</x:f>
      </x:c>
      <x:c r="G63" s="89" t="str">
        <x:f>IF(COUNT('Rater 1'!G63,'Rater 2'!G63)=2,AVERAGE('Rater 1'!G63,'Rater 2'!G63),"")</x:f>
      </x:c>
      <x:c r="H63" s="89" t="str">
        <x:f>IF(D63="present",IF(COUNT(E63:G63)=3,E63*0.5+F63*0.3+G63*0.2,""),IF(COUNT(E63,G63)=2,(E63*0.5+G63*0.2)/0.7,""))</x:f>
      </x:c>
      <x:c r="I63" s="89" t="str">
        <x:f>IF(COUNT('Model Scores'!B63)=1,'Model Scores'!B63,"")</x:f>
      </x:c>
      <x:c r="J63" s="89" t="str">
        <x:f>IF(D63="absent","",IF(COUNT('Model Scores'!D63)=1,'Model Scores'!D63,""))</x:f>
      </x:c>
      <x:c r="K63" s="89" t="str">
        <x:f>IF(COUNT('Model Scores'!F63)=1,'Model Scores'!F63,"")</x:f>
      </x:c>
      <x:c r="L63" s="89" t="str">
        <x:f>IF(COUNT('Model Scores'!G63)=1,'Model Scores'!G63,"")</x:f>
      </x:c>
      <x:c r="M63" s="89" t="str">
        <x:f>IF(COUNT(H63,L63)=2,ABS(H63-L63),"")</x:f>
      </x:c>
      <x:c r="N63" s="69" t="str">
        <x:f>IF(AND('Rater 1'!J63="Yes",'Rater 2'!J63="Yes",'Model Scores'!M63="Yes"),"Ready","Pending")</x:f>
        <x:v>Pending</x:v>
      </x:c>
    </x:row>
    <x:row r="64">
      <x:c r="A64" s="27" t="str">
        <x:f>'Sample Manifest'!A64</x:f>
        <x:v>AR-P12-AE</x:v>
      </x:c>
      <x:c r="B64" s="64" t="str">
        <x:f>'Sample Manifest'!B64</x:f>
        <x:v>P12</x:v>
      </x:c>
      <x:c r="C64" s="64" t="str">
        <x:f>'Sample Manifest'!E64</x:f>
        <x:v>AE</x:v>
      </x:c>
      <x:c r="D64" s="64" t="str">
        <x:f>'Sample Manifest'!H64</x:f>
        <x:v>absent</x:v>
      </x:c>
      <x:c r="E64" s="91" t="str">
        <x:f>IF(COUNT('Rater 1'!C64,'Rater 2'!C64)=2,AVERAGE('Rater 1'!C64,'Rater 2'!C64),"")</x:f>
      </x:c>
      <x:c r="F64" s="91" t="str">
        <x:f>IF(D64="absent","",IF(COUNT('Rater 1'!F64,'Rater 2'!F64)=2,AVERAGE('Rater 1'!F64,'Rater 2'!F64),""))</x:f>
      </x:c>
      <x:c r="G64" s="91" t="str">
        <x:f>IF(COUNT('Rater 1'!G64,'Rater 2'!G64)=2,AVERAGE('Rater 1'!G64,'Rater 2'!G64),"")</x:f>
      </x:c>
      <x:c r="H64" s="91" t="str">
        <x:f>IF(D64="present",IF(COUNT(E64:G64)=3,E64*0.5+F64*0.3+G64*0.2,""),IF(COUNT(E64,G64)=2,(E64*0.5+G64*0.2)/0.7,""))</x:f>
      </x:c>
      <x:c r="I64" s="91" t="str">
        <x:f>IF(COUNT('Model Scores'!B64)=1,'Model Scores'!B64,"")</x:f>
      </x:c>
      <x:c r="J64" s="91" t="str">
        <x:f>IF(D64="absent","",IF(COUNT('Model Scores'!D64)=1,'Model Scores'!D64,""))</x:f>
      </x:c>
      <x:c r="K64" s="91" t="str">
        <x:f>IF(COUNT('Model Scores'!F64)=1,'Model Scores'!F64,"")</x:f>
      </x:c>
      <x:c r="L64" s="91" t="str">
        <x:f>IF(COUNT('Model Scores'!G64)=1,'Model Scores'!G64,"")</x:f>
      </x:c>
      <x:c r="M64" s="91" t="str">
        <x:f>IF(COUNT(H64,L64)=2,ABS(H64-L64),"")</x:f>
      </x:c>
      <x:c r="N64" s="70" t="str">
        <x:f>IF(AND('Rater 1'!J64="Yes",'Rater 2'!J64="Yes",'Model Scores'!M64="Yes"),"Ready","Pending")</x:f>
        <x:v>Pending</x:v>
      </x:c>
    </x:row>
  </x:sheetData>
  <x:mergeCells>
    <x:mergeCell ref="A1:N1"/>
    <x:mergeCell ref="A2:N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6" hidden="0" customWidth="1"/>
    <x:col min="2" max="2" width="58" hidden="0" customWidth="1"/>
    <x:col min="3" max="3" width="44" hidden="0" customWidth="1"/>
    <x:col min="4" max="4" width="14" hidden="0" customWidth="1"/>
    <x:col min="5" max="5" width="14" hidden="0" customWidth="1"/>
    <x:col min="6" max="6" width="14" hidden="0" customWidth="1"/>
  </x:cols>
  <x:sheetData>
    <x:row r="1" ht="34" customHeight="1">
      <x:c r="A1" s="3" t="str">
        <x:v>Frozen Human Scoring Rubric</x:v>
      </x:c>
      <x:c r="B1" s="3" t="str">
        <x:v>Frozen Human Scoring Rubric</x:v>
      </x:c>
      <x:c r="C1" s="3" t="str">
        <x:v>Frozen Human Scoring Rubric</x:v>
      </x:c>
      <x:c r="D1" s="3" t="str">
        <x:v>Frozen Human Scoring Rubric</x:v>
      </x:c>
      <x:c r="E1" s="3" t="str">
        <x:v>Frozen Human Scoring Rubric</x:v>
      </x:c>
      <x:c r="F1" s="3" t="str">
        <x:v>Frozen Human Scoring Rubric</x:v>
      </x:c>
    </x:row>
    <x:row r="2" ht="30" customHeight="1">
      <x:c r="A2" s="7" t="str">
        <x:v>Use visible evidence only. Intermediate scores are allowed; record concrete discrepancies.</x:v>
      </x:c>
      <x:c r="B2" s="7" t="str">
        <x:v>Use visible evidence only. Intermediate scores are allowed; record concrete discrepancies.</x:v>
      </x:c>
      <x:c r="C2" s="7" t="str">
        <x:v>Use visible evidence only. Intermediate scores are allowed; record concrete discrepancies.</x:v>
      </x:c>
      <x:c r="D2" s="7" t="str">
        <x:v>Use visible evidence only. Intermediate scores are allowed; record concrete discrepancies.</x:v>
      </x:c>
      <x:c r="E2" s="7" t="str">
        <x:v>Use visible evidence only. Intermediate scores are allowed; record concrete discrepancies.</x:v>
      </x:c>
      <x:c r="F2" s="7" t="str">
        <x:v>Use visible evidence only. Intermediate scores are allowed; record concrete discrepancies.</x:v>
      </x:c>
    </x:row>
    <x:row r="4" ht="30" customHeight="1">
      <x:c r="A4" s="14" t="str">
        <x:v>Score anchor</x:v>
      </x:c>
      <x:c r="B4" s="58" t="str">
        <x:v>Meaning</x:v>
      </x:c>
      <x:c r="C4" s="15" t="str">
        <x:v>Use</x:v>
      </x:c>
    </x:row>
    <x:row r="5">
      <x:c r="A5" s="23" t="n">
        <x:v>100</x:v>
      </x:c>
      <x:c r="B5" s="62" t="str">
        <x:v>No visible inconsistency in the locked dimension</x:v>
      </x:c>
      <x:c r="C5" s="24" t="str">
        <x:v>Exact or effectively exact preservation</x:v>
      </x:c>
    </x:row>
    <x:row r="6">
      <x:c r="A6" s="25" t="n">
        <x:v>80</x:v>
      </x:c>
      <x:c r="B6" s="63" t="str">
        <x:v>Minor visible deviation that preserves identity</x:v>
      </x:c>
      <x:c r="C6" s="26" t="str">
        <x:v>Acceptable but not perfect</x:v>
      </x:c>
    </x:row>
    <x:row r="7">
      <x:c r="A7" s="25" t="n">
        <x:v>60</x:v>
      </x:c>
      <x:c r="B7" s="63" t="str">
        <x:v>Material inconsistency</x:v>
      </x:c>
      <x:c r="C7" s="26" t="str">
        <x:v>Lowest acceptable boundary</x:v>
      </x:c>
    </x:row>
    <x:row r="8">
      <x:c r="A8" s="25" t="n">
        <x:v>40</x:v>
      </x:c>
      <x:c r="B8" s="63" t="str">
        <x:v>Major inconsistency changing a defining property</x:v>
      </x:c>
      <x:c r="C8" s="26" t="str">
        <x:v>Clear failure</x:v>
      </x:c>
    </x:row>
    <x:row r="9">
      <x:c r="A9" s="25" t="n">
        <x:v>20</x:v>
      </x:c>
      <x:c r="B9" s="63" t="str">
        <x:v>Very weak match</x:v>
      </x:c>
      <x:c r="C9" s="26" t="str">
        <x:v>Only limited recognizable evidence</x:v>
      </x:c>
    </x:row>
    <x:row r="10">
      <x:c r="A10" s="27" t="n">
        <x:v>0</x:v>
      </x:c>
      <x:c r="B10" s="64" t="str">
        <x:v>Missing, unrelated, or opposite</x:v>
      </x:c>
      <x:c r="C10" s="28" t="str">
        <x:v>Complete failure</x:v>
      </x:c>
    </x:row>
    <x:row r="13">
      <x:c r="A13" s="95" t="str">
        <x:v>Logo hard-failure code</x:v>
      </x:c>
      <x:c r="B13" s="95" t="str">
        <x:v>Trigger</x:v>
      </x:c>
      <x:c r="C13" s="95" t="str">
        <x:v>Policy effect</x:v>
      </x:c>
    </x:row>
    <x:row r="14">
      <x:c r="A14" s="23" t="str">
        <x:v>core_color_changed</x:v>
      </x:c>
      <x:c r="B14" s="62" t="str">
        <x:v>Core logo color changes, including multicolor to monochrome</x:v>
      </x:c>
      <x:c r="C14" s="24" t="str">
        <x:v>Retain raw score; cap policy score at 59</x:v>
      </x:c>
    </x:row>
    <x:row r="15">
      <x:c r="A15" s="25" t="str">
        <x:v>mark_structure_changed</x:v>
      </x:c>
      <x:c r="B15" s="63" t="str">
        <x:v>Defining mark structure changes</x:v>
      </x:c>
      <x:c r="C15" s="26" t="str">
        <x:v>Retain raw score; cap policy score at 59</x:v>
      </x:c>
    </x:row>
    <x:row r="16">
      <x:c r="A16" s="25" t="str">
        <x:v>brand_wording_changed</x:v>
      </x:c>
      <x:c r="B16" s="63" t="str">
        <x:v>Brand wording is added, removed, or altered</x:v>
      </x:c>
      <x:c r="C16" s="26" t="str">
        <x:v>Retain raw score; cap policy score at 59</x:v>
      </x:c>
    </x:row>
    <x:row r="17">
      <x:c r="A17" s="25" t="str">
        <x:v>reference_mark_missing</x:v>
      </x:c>
      <x:c r="B17" s="63" t="str">
        <x:v>Required reference mark is absent</x:v>
      </x:c>
      <x:c r="C17" s="26" t="str">
        <x:v>Retain raw score; cap policy score at 59</x:v>
      </x:c>
    </x:row>
    <x:row r="18">
      <x:c r="A18" s="25" t="str">
        <x:v>invented_brand_mark</x:v>
      </x:c>
      <x:c r="B18" s="63" t="str">
        <x:v>Invented or alternate brand mark appears</x:v>
      </x:c>
      <x:c r="C18" s="26" t="str">
        <x:v>Retain raw score; cap policy score at 59</x:v>
      </x:c>
    </x:row>
    <x:row r="19">
      <x:c r="A19" s="27" t="str">
        <x:v>No hard failure</x:v>
      </x:c>
      <x:c r="B19" s="64" t="str">
        <x:v>Minor antialiasing, proportional scaling, or compression only</x:v>
      </x:c>
      <x:c r="C19" s="28" t="str">
        <x:v>Use raw score</x:v>
      </x:c>
    </x:row>
    <x:row r="22">
      <x:c r="A22"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B22"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C22"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D22"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E22"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F22"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row>
    <x:row r="23">
      <x:c r="A23"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B23"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C23"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D23"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E23"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F23"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row>
    <x:row r="24">
      <x:c r="A24"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B24"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C24"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D24"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E24"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F24"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row>
    <x:row r="25">
      <x:c r="A25"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B25"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C25"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D25"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E25"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F25"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row>
    <x:row r="26">
      <x:c r="A26"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B26"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C26"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D26"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E26"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c r="F26" s="99" t="str">
        <x:v>Blindness rule: Rater 1 and Rater 2 work independently, cannot view model scores, and do not discuss samples until both sheets are locked. Human aggregation uses the arithmetic mean of each rater's policy-adjusted dimension scores. Do not remove difficult samples or change thresholds after viewing results.</x:v>
      </x:c>
    </x:row>
  </x:sheetData>
  <x:mergeCells>
    <x:mergeCell ref="A1:F1"/>
    <x:mergeCell ref="A2:F2"/>
    <x:mergeCell ref="A22:F26"/>
  </x:mergeCells>
  <x:pageMargins left="0.7" right="0.7" top="0.75" bottom="0.75" header="0.3" footer="0.3"/>
</x:worksheet>
</file>